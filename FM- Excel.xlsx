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rom HP laptop\Siddharth\After JEE\Programming\Projects\Financial Management\"/>
    </mc:Choice>
  </mc:AlternateContent>
  <xr:revisionPtr revIDLastSave="0" documentId="13_ncr:1_{A5FB8CDA-DDA1-461A-A8B8-878FD8C132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NTPC" sheetId="3" r:id="rId2"/>
    <sheet name="ADANIPOWER" sheetId="4" r:id="rId3"/>
    <sheet name="TATAPOWER" sheetId="5" r:id="rId4"/>
    <sheet name="JSW ENERGY" sheetId="6" r:id="rId5"/>
    <sheet name="NHPC" sheetId="7" r:id="rId6"/>
    <sheet name="POWERGRID" sheetId="8" r:id="rId7"/>
    <sheet name="MVE" sheetId="9" r:id="rId8"/>
    <sheet name="D TO E" sheetId="10" r:id="rId9"/>
    <sheet name="Cost of debt" sheetId="11" r:id="rId10"/>
    <sheet name="WACC using Top Down Approach (E" sheetId="12" r:id="rId11"/>
    <sheet name="WACC using Bottom Up Approach (" sheetId="13" r:id="rId12"/>
    <sheet name="Financial statement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3" l="1"/>
  <c r="B8" i="13"/>
  <c r="E8" i="13" s="1"/>
  <c r="E7" i="13"/>
  <c r="C7" i="13"/>
  <c r="B7" i="13"/>
  <c r="C6" i="13"/>
  <c r="B6" i="13"/>
  <c r="E6" i="13" s="1"/>
  <c r="C5" i="13"/>
  <c r="B5" i="13"/>
  <c r="E5" i="13" s="1"/>
  <c r="C4" i="13"/>
  <c r="E4" i="13" s="1"/>
  <c r="D13" i="13" s="1"/>
  <c r="D18" i="13" s="1"/>
  <c r="B4" i="13"/>
  <c r="C3" i="13"/>
  <c r="D16" i="13" s="1"/>
  <c r="B3" i="13"/>
  <c r="E3" i="13" s="1"/>
  <c r="B16" i="12"/>
  <c r="B22" i="12" s="1"/>
  <c r="B4" i="11"/>
  <c r="AC53" i="9"/>
  <c r="X53" i="9"/>
  <c r="S53" i="9"/>
  <c r="N53" i="9"/>
  <c r="I53" i="9"/>
  <c r="D53" i="9"/>
  <c r="AC52" i="9"/>
  <c r="X52" i="9"/>
  <c r="S52" i="9"/>
  <c r="N52" i="9"/>
  <c r="I52" i="9"/>
  <c r="D52" i="9"/>
  <c r="AC51" i="9"/>
  <c r="X51" i="9"/>
  <c r="S51" i="9"/>
  <c r="N51" i="9"/>
  <c r="I51" i="9"/>
  <c r="D51" i="9"/>
  <c r="AC50" i="9"/>
  <c r="X50" i="9"/>
  <c r="S50" i="9"/>
  <c r="N50" i="9"/>
  <c r="I50" i="9"/>
  <c r="D50" i="9"/>
  <c r="AC49" i="9"/>
  <c r="X49" i="9"/>
  <c r="S49" i="9"/>
  <c r="N49" i="9"/>
  <c r="I49" i="9"/>
  <c r="D49" i="9"/>
  <c r="AC48" i="9"/>
  <c r="X48" i="9"/>
  <c r="S48" i="9"/>
  <c r="N48" i="9"/>
  <c r="I48" i="9"/>
  <c r="D48" i="9"/>
  <c r="AC47" i="9"/>
  <c r="X47" i="9"/>
  <c r="S47" i="9"/>
  <c r="N47" i="9"/>
  <c r="I47" i="9"/>
  <c r="D47" i="9"/>
  <c r="AC46" i="9"/>
  <c r="X46" i="9"/>
  <c r="S46" i="9"/>
  <c r="N46" i="9"/>
  <c r="I46" i="9"/>
  <c r="D46" i="9"/>
  <c r="AC45" i="9"/>
  <c r="X45" i="9"/>
  <c r="S45" i="9"/>
  <c r="N45" i="9"/>
  <c r="I45" i="9"/>
  <c r="D45" i="9"/>
  <c r="AC44" i="9"/>
  <c r="X44" i="9"/>
  <c r="S44" i="9"/>
  <c r="N44" i="9"/>
  <c r="I44" i="9"/>
  <c r="D44" i="9"/>
  <c r="AC43" i="9"/>
  <c r="X43" i="9"/>
  <c r="S43" i="9"/>
  <c r="N43" i="9"/>
  <c r="I43" i="9"/>
  <c r="D43" i="9"/>
  <c r="AC42" i="9"/>
  <c r="X42" i="9"/>
  <c r="S42" i="9"/>
  <c r="N42" i="9"/>
  <c r="I42" i="9"/>
  <c r="D42" i="9"/>
  <c r="AC41" i="9"/>
  <c r="X41" i="9"/>
  <c r="S41" i="9"/>
  <c r="N41" i="9"/>
  <c r="I41" i="9"/>
  <c r="D41" i="9"/>
  <c r="AC40" i="9"/>
  <c r="X40" i="9"/>
  <c r="S40" i="9"/>
  <c r="N40" i="9"/>
  <c r="I40" i="9"/>
  <c r="D40" i="9"/>
  <c r="AC39" i="9"/>
  <c r="X39" i="9"/>
  <c r="S39" i="9"/>
  <c r="N39" i="9"/>
  <c r="I39" i="9"/>
  <c r="D39" i="9"/>
  <c r="AC38" i="9"/>
  <c r="X38" i="9"/>
  <c r="S38" i="9"/>
  <c r="N38" i="9"/>
  <c r="I38" i="9"/>
  <c r="D38" i="9"/>
  <c r="AC37" i="9"/>
  <c r="X37" i="9"/>
  <c r="S37" i="9"/>
  <c r="N37" i="9"/>
  <c r="I37" i="9"/>
  <c r="D37" i="9"/>
  <c r="AC36" i="9"/>
  <c r="X36" i="9"/>
  <c r="S36" i="9"/>
  <c r="N36" i="9"/>
  <c r="I36" i="9"/>
  <c r="D36" i="9"/>
  <c r="AC35" i="9"/>
  <c r="X35" i="9"/>
  <c r="S35" i="9"/>
  <c r="N35" i="9"/>
  <c r="I35" i="9"/>
  <c r="D35" i="9"/>
  <c r="AC34" i="9"/>
  <c r="X34" i="9"/>
  <c r="S34" i="9"/>
  <c r="N34" i="9"/>
  <c r="I34" i="9"/>
  <c r="D34" i="9"/>
  <c r="AC33" i="9"/>
  <c r="X33" i="9"/>
  <c r="S33" i="9"/>
  <c r="N33" i="9"/>
  <c r="I33" i="9"/>
  <c r="D33" i="9"/>
  <c r="AC32" i="9"/>
  <c r="X32" i="9"/>
  <c r="S32" i="9"/>
  <c r="N32" i="9"/>
  <c r="I32" i="9"/>
  <c r="D32" i="9"/>
  <c r="AC31" i="9"/>
  <c r="X31" i="9"/>
  <c r="S31" i="9"/>
  <c r="N31" i="9"/>
  <c r="I31" i="9"/>
  <c r="D31" i="9"/>
  <c r="AC30" i="9"/>
  <c r="X30" i="9"/>
  <c r="S30" i="9"/>
  <c r="N30" i="9"/>
  <c r="I30" i="9"/>
  <c r="D30" i="9"/>
  <c r="AC29" i="9"/>
  <c r="X29" i="9"/>
  <c r="S29" i="9"/>
  <c r="N29" i="9"/>
  <c r="I29" i="9"/>
  <c r="D29" i="9"/>
  <c r="AC28" i="9"/>
  <c r="X28" i="9"/>
  <c r="S28" i="9"/>
  <c r="N28" i="9"/>
  <c r="I28" i="9"/>
  <c r="D28" i="9"/>
  <c r="AC27" i="9"/>
  <c r="X27" i="9"/>
  <c r="S27" i="9"/>
  <c r="N27" i="9"/>
  <c r="I27" i="9"/>
  <c r="D27" i="9"/>
  <c r="AC26" i="9"/>
  <c r="X26" i="9"/>
  <c r="S26" i="9"/>
  <c r="N26" i="9"/>
  <c r="I26" i="9"/>
  <c r="D26" i="9"/>
  <c r="AC25" i="9"/>
  <c r="X25" i="9"/>
  <c r="S25" i="9"/>
  <c r="N25" i="9"/>
  <c r="I25" i="9"/>
  <c r="D25" i="9"/>
  <c r="AC24" i="9"/>
  <c r="X24" i="9"/>
  <c r="S24" i="9"/>
  <c r="N24" i="9"/>
  <c r="I24" i="9"/>
  <c r="D24" i="9"/>
  <c r="AC23" i="9"/>
  <c r="X23" i="9"/>
  <c r="S23" i="9"/>
  <c r="N23" i="9"/>
  <c r="I23" i="9"/>
  <c r="D23" i="9"/>
  <c r="AC22" i="9"/>
  <c r="X22" i="9"/>
  <c r="S22" i="9"/>
  <c r="N22" i="9"/>
  <c r="I22" i="9"/>
  <c r="D22" i="9"/>
  <c r="AC21" i="9"/>
  <c r="X21" i="9"/>
  <c r="S21" i="9"/>
  <c r="N21" i="9"/>
  <c r="I21" i="9"/>
  <c r="D21" i="9"/>
  <c r="AC20" i="9"/>
  <c r="X20" i="9"/>
  <c r="S20" i="9"/>
  <c r="N20" i="9"/>
  <c r="I20" i="9"/>
  <c r="D20" i="9"/>
  <c r="AC19" i="9"/>
  <c r="X19" i="9"/>
  <c r="S19" i="9"/>
  <c r="N19" i="9"/>
  <c r="I19" i="9"/>
  <c r="D19" i="9"/>
  <c r="AC18" i="9"/>
  <c r="X18" i="9"/>
  <c r="S18" i="9"/>
  <c r="N18" i="9"/>
  <c r="I18" i="9"/>
  <c r="D18" i="9"/>
  <c r="AC17" i="9"/>
  <c r="X17" i="9"/>
  <c r="S17" i="9"/>
  <c r="N17" i="9"/>
  <c r="I17" i="9"/>
  <c r="D17" i="9"/>
  <c r="AC16" i="9"/>
  <c r="X16" i="9"/>
  <c r="S16" i="9"/>
  <c r="N16" i="9"/>
  <c r="I16" i="9"/>
  <c r="D16" i="9"/>
  <c r="AC15" i="9"/>
  <c r="X15" i="9"/>
  <c r="S15" i="9"/>
  <c r="N15" i="9"/>
  <c r="I15" i="9"/>
  <c r="D15" i="9"/>
  <c r="AC14" i="9"/>
  <c r="X14" i="9"/>
  <c r="S14" i="9"/>
  <c r="N14" i="9"/>
  <c r="I14" i="9"/>
  <c r="D14" i="9"/>
  <c r="AC13" i="9"/>
  <c r="X13" i="9"/>
  <c r="S13" i="9"/>
  <c r="N13" i="9"/>
  <c r="I13" i="9"/>
  <c r="D13" i="9"/>
  <c r="AC12" i="9"/>
  <c r="X12" i="9"/>
  <c r="S12" i="9"/>
  <c r="N12" i="9"/>
  <c r="I12" i="9"/>
  <c r="D12" i="9"/>
  <c r="AC11" i="9"/>
  <c r="X11" i="9"/>
  <c r="S11" i="9"/>
  <c r="N11" i="9"/>
  <c r="I11" i="9"/>
  <c r="D11" i="9"/>
  <c r="AC10" i="9"/>
  <c r="X10" i="9"/>
  <c r="S10" i="9"/>
  <c r="N10" i="9"/>
  <c r="I10" i="9"/>
  <c r="D10" i="9"/>
  <c r="AC9" i="9"/>
  <c r="X9" i="9"/>
  <c r="S9" i="9"/>
  <c r="N9" i="9"/>
  <c r="I9" i="9"/>
  <c r="D9" i="9"/>
  <c r="AC8" i="9"/>
  <c r="X8" i="9"/>
  <c r="S8" i="9"/>
  <c r="N8" i="9"/>
  <c r="I8" i="9"/>
  <c r="D8" i="9"/>
  <c r="AC7" i="9"/>
  <c r="X7" i="9"/>
  <c r="S7" i="9"/>
  <c r="N7" i="9"/>
  <c r="I7" i="9"/>
  <c r="D7" i="9"/>
  <c r="AC6" i="9"/>
  <c r="X6" i="9"/>
  <c r="S6" i="9"/>
  <c r="N6" i="9"/>
  <c r="I6" i="9"/>
  <c r="D6" i="9"/>
  <c r="AC5" i="9"/>
  <c r="AA56" i="9" s="1"/>
  <c r="X5" i="9"/>
  <c r="V56" i="9" s="1"/>
  <c r="S5" i="9"/>
  <c r="Q56" i="9" s="1"/>
  <c r="N5" i="9"/>
  <c r="L56" i="9" s="1"/>
  <c r="I5" i="9"/>
  <c r="G56" i="9" s="1"/>
  <c r="D5" i="9"/>
  <c r="B56" i="9" s="1"/>
  <c r="C61" i="2"/>
  <c r="B61" i="2"/>
  <c r="E61" i="2" s="1"/>
  <c r="C60" i="2"/>
  <c r="B60" i="2"/>
  <c r="E60" i="2" s="1"/>
  <c r="C59" i="2"/>
  <c r="B59" i="2"/>
  <c r="E59" i="2" s="1"/>
  <c r="C58" i="2"/>
  <c r="E58" i="2" s="1"/>
  <c r="B58" i="2"/>
  <c r="C57" i="2"/>
  <c r="B57" i="2"/>
  <c r="E57" i="2" s="1"/>
  <c r="J56" i="2"/>
  <c r="J7" i="13" s="1"/>
  <c r="J8" i="13" s="1"/>
  <c r="D20" i="13" s="1"/>
  <c r="D26" i="13" s="1"/>
  <c r="C56" i="2"/>
  <c r="B56" i="2"/>
  <c r="E56" i="2" s="1"/>
  <c r="Q51" i="2"/>
  <c r="P51" i="2"/>
  <c r="O51" i="2"/>
  <c r="N51" i="2"/>
  <c r="M51" i="2"/>
  <c r="L51" i="2"/>
  <c r="K51" i="2"/>
  <c r="Q50" i="2"/>
  <c r="P50" i="2"/>
  <c r="O50" i="2"/>
  <c r="N50" i="2"/>
  <c r="M50" i="2"/>
  <c r="L50" i="2"/>
  <c r="K50" i="2"/>
  <c r="Q49" i="2"/>
  <c r="P49" i="2"/>
  <c r="O49" i="2"/>
  <c r="N49" i="2"/>
  <c r="M49" i="2"/>
  <c r="L49" i="2"/>
  <c r="K49" i="2"/>
  <c r="Q48" i="2"/>
  <c r="P48" i="2"/>
  <c r="O48" i="2"/>
  <c r="N48" i="2"/>
  <c r="M48" i="2"/>
  <c r="L48" i="2"/>
  <c r="K48" i="2"/>
  <c r="Q47" i="2"/>
  <c r="P47" i="2"/>
  <c r="O47" i="2"/>
  <c r="N47" i="2"/>
  <c r="M47" i="2"/>
  <c r="L47" i="2"/>
  <c r="K47" i="2"/>
  <c r="Q46" i="2"/>
  <c r="P46" i="2"/>
  <c r="O46" i="2"/>
  <c r="N46" i="2"/>
  <c r="M46" i="2"/>
  <c r="L46" i="2"/>
  <c r="K46" i="2"/>
  <c r="Q45" i="2"/>
  <c r="P45" i="2"/>
  <c r="O45" i="2"/>
  <c r="N45" i="2"/>
  <c r="M45" i="2"/>
  <c r="L45" i="2"/>
  <c r="K45" i="2"/>
  <c r="Q44" i="2"/>
  <c r="P44" i="2"/>
  <c r="O44" i="2"/>
  <c r="N44" i="2"/>
  <c r="M44" i="2"/>
  <c r="L44" i="2"/>
  <c r="K44" i="2"/>
  <c r="Q43" i="2"/>
  <c r="P43" i="2"/>
  <c r="O43" i="2"/>
  <c r="N43" i="2"/>
  <c r="M43" i="2"/>
  <c r="L43" i="2"/>
  <c r="K43" i="2"/>
  <c r="Q42" i="2"/>
  <c r="P42" i="2"/>
  <c r="O42" i="2"/>
  <c r="N42" i="2"/>
  <c r="M42" i="2"/>
  <c r="L42" i="2"/>
  <c r="K42" i="2"/>
  <c r="Q41" i="2"/>
  <c r="P41" i="2"/>
  <c r="O41" i="2"/>
  <c r="N41" i="2"/>
  <c r="M41" i="2"/>
  <c r="L41" i="2"/>
  <c r="K41" i="2"/>
  <c r="Q40" i="2"/>
  <c r="P40" i="2"/>
  <c r="O40" i="2"/>
  <c r="N40" i="2"/>
  <c r="M40" i="2"/>
  <c r="L40" i="2"/>
  <c r="K40" i="2"/>
  <c r="Q39" i="2"/>
  <c r="P39" i="2"/>
  <c r="O39" i="2"/>
  <c r="N39" i="2"/>
  <c r="M39" i="2"/>
  <c r="L39" i="2"/>
  <c r="K39" i="2"/>
  <c r="Q38" i="2"/>
  <c r="P38" i="2"/>
  <c r="O38" i="2"/>
  <c r="N38" i="2"/>
  <c r="M38" i="2"/>
  <c r="L38" i="2"/>
  <c r="K38" i="2"/>
  <c r="Q37" i="2"/>
  <c r="P37" i="2"/>
  <c r="O37" i="2"/>
  <c r="N37" i="2"/>
  <c r="M37" i="2"/>
  <c r="L37" i="2"/>
  <c r="K37" i="2"/>
  <c r="Q36" i="2"/>
  <c r="P36" i="2"/>
  <c r="O36" i="2"/>
  <c r="N36" i="2"/>
  <c r="M36" i="2"/>
  <c r="L36" i="2"/>
  <c r="K36" i="2"/>
  <c r="Q35" i="2"/>
  <c r="P35" i="2"/>
  <c r="O35" i="2"/>
  <c r="N35" i="2"/>
  <c r="M35" i="2"/>
  <c r="L35" i="2"/>
  <c r="K35" i="2"/>
  <c r="Q34" i="2"/>
  <c r="P34" i="2"/>
  <c r="O34" i="2"/>
  <c r="N34" i="2"/>
  <c r="M34" i="2"/>
  <c r="L34" i="2"/>
  <c r="K34" i="2"/>
  <c r="Q33" i="2"/>
  <c r="P33" i="2"/>
  <c r="O33" i="2"/>
  <c r="N33" i="2"/>
  <c r="M33" i="2"/>
  <c r="L33" i="2"/>
  <c r="K33" i="2"/>
  <c r="Q32" i="2"/>
  <c r="P32" i="2"/>
  <c r="O32" i="2"/>
  <c r="N32" i="2"/>
  <c r="M32" i="2"/>
  <c r="L32" i="2"/>
  <c r="K32" i="2"/>
  <c r="Q31" i="2"/>
  <c r="P31" i="2"/>
  <c r="O31" i="2"/>
  <c r="N31" i="2"/>
  <c r="M31" i="2"/>
  <c r="L31" i="2"/>
  <c r="K31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Q28" i="2"/>
  <c r="P28" i="2"/>
  <c r="O28" i="2"/>
  <c r="N28" i="2"/>
  <c r="M28" i="2"/>
  <c r="L28" i="2"/>
  <c r="K28" i="2"/>
  <c r="Q27" i="2"/>
  <c r="P27" i="2"/>
  <c r="O27" i="2"/>
  <c r="N27" i="2"/>
  <c r="M27" i="2"/>
  <c r="L27" i="2"/>
  <c r="K27" i="2"/>
  <c r="Q26" i="2"/>
  <c r="P26" i="2"/>
  <c r="O26" i="2"/>
  <c r="N26" i="2"/>
  <c r="M26" i="2"/>
  <c r="L26" i="2"/>
  <c r="K26" i="2"/>
  <c r="Q25" i="2"/>
  <c r="P25" i="2"/>
  <c r="O25" i="2"/>
  <c r="N25" i="2"/>
  <c r="M25" i="2"/>
  <c r="L25" i="2"/>
  <c r="K25" i="2"/>
  <c r="Q24" i="2"/>
  <c r="P24" i="2"/>
  <c r="O24" i="2"/>
  <c r="N24" i="2"/>
  <c r="M24" i="2"/>
  <c r="L24" i="2"/>
  <c r="K24" i="2"/>
  <c r="Q23" i="2"/>
  <c r="P23" i="2"/>
  <c r="O23" i="2"/>
  <c r="N23" i="2"/>
  <c r="M23" i="2"/>
  <c r="L23" i="2"/>
  <c r="K23" i="2"/>
  <c r="Q22" i="2"/>
  <c r="P22" i="2"/>
  <c r="O22" i="2"/>
  <c r="N22" i="2"/>
  <c r="M22" i="2"/>
  <c r="L22" i="2"/>
  <c r="K22" i="2"/>
  <c r="Q21" i="2"/>
  <c r="P21" i="2"/>
  <c r="O21" i="2"/>
  <c r="N21" i="2"/>
  <c r="M21" i="2"/>
  <c r="L21" i="2"/>
  <c r="K21" i="2"/>
  <c r="Q20" i="2"/>
  <c r="P20" i="2"/>
  <c r="O20" i="2"/>
  <c r="N20" i="2"/>
  <c r="M20" i="2"/>
  <c r="L20" i="2"/>
  <c r="K20" i="2"/>
  <c r="Q19" i="2"/>
  <c r="P19" i="2"/>
  <c r="O19" i="2"/>
  <c r="N19" i="2"/>
  <c r="M19" i="2"/>
  <c r="L19" i="2"/>
  <c r="K19" i="2"/>
  <c r="Q18" i="2"/>
  <c r="P18" i="2"/>
  <c r="O18" i="2"/>
  <c r="N18" i="2"/>
  <c r="M18" i="2"/>
  <c r="L18" i="2"/>
  <c r="K18" i="2"/>
  <c r="Q17" i="2"/>
  <c r="P17" i="2"/>
  <c r="O17" i="2"/>
  <c r="N17" i="2"/>
  <c r="M17" i="2"/>
  <c r="L17" i="2"/>
  <c r="K17" i="2"/>
  <c r="Q16" i="2"/>
  <c r="P16" i="2"/>
  <c r="O16" i="2"/>
  <c r="N16" i="2"/>
  <c r="M16" i="2"/>
  <c r="L16" i="2"/>
  <c r="K16" i="2"/>
  <c r="Q15" i="2"/>
  <c r="P15" i="2"/>
  <c r="O15" i="2"/>
  <c r="N15" i="2"/>
  <c r="M15" i="2"/>
  <c r="L15" i="2"/>
  <c r="K15" i="2"/>
  <c r="Q14" i="2"/>
  <c r="P14" i="2"/>
  <c r="O14" i="2"/>
  <c r="N14" i="2"/>
  <c r="M14" i="2"/>
  <c r="L14" i="2"/>
  <c r="K14" i="2"/>
  <c r="Q13" i="2"/>
  <c r="P13" i="2"/>
  <c r="O13" i="2"/>
  <c r="N13" i="2"/>
  <c r="M13" i="2"/>
  <c r="L13" i="2"/>
  <c r="K13" i="2"/>
  <c r="Q12" i="2"/>
  <c r="P12" i="2"/>
  <c r="O12" i="2"/>
  <c r="N12" i="2"/>
  <c r="M12" i="2"/>
  <c r="L12" i="2"/>
  <c r="K12" i="2"/>
  <c r="Q11" i="2"/>
  <c r="P11" i="2"/>
  <c r="O11" i="2"/>
  <c r="N11" i="2"/>
  <c r="M11" i="2"/>
  <c r="L11" i="2"/>
  <c r="K11" i="2"/>
  <c r="Q10" i="2"/>
  <c r="P10" i="2"/>
  <c r="O10" i="2"/>
  <c r="N10" i="2"/>
  <c r="M10" i="2"/>
  <c r="L10" i="2"/>
  <c r="K10" i="2"/>
  <c r="Q9" i="2"/>
  <c r="P9" i="2"/>
  <c r="O9" i="2"/>
  <c r="N9" i="2"/>
  <c r="M9" i="2"/>
  <c r="L9" i="2"/>
  <c r="K9" i="2"/>
  <c r="Q8" i="2"/>
  <c r="P8" i="2"/>
  <c r="O8" i="2"/>
  <c r="N8" i="2"/>
  <c r="M8" i="2"/>
  <c r="L8" i="2"/>
  <c r="K8" i="2"/>
  <c r="Q7" i="2"/>
  <c r="I56" i="2" s="1"/>
  <c r="P7" i="2"/>
  <c r="O7" i="2"/>
  <c r="N7" i="2"/>
  <c r="M7" i="2"/>
  <c r="L7" i="2"/>
  <c r="K7" i="2"/>
  <c r="Q6" i="2"/>
  <c r="P6" i="2"/>
  <c r="O6" i="2"/>
  <c r="N6" i="2"/>
  <c r="M6" i="2"/>
  <c r="L6" i="2"/>
  <c r="K6" i="2"/>
  <c r="Q5" i="2"/>
  <c r="P5" i="2"/>
  <c r="O5" i="2"/>
  <c r="N5" i="2"/>
  <c r="M5" i="2"/>
  <c r="L5" i="2"/>
  <c r="K5" i="2"/>
  <c r="Q4" i="2"/>
  <c r="P4" i="2"/>
  <c r="O4" i="2"/>
  <c r="N4" i="2"/>
  <c r="M4" i="2"/>
  <c r="L4" i="2"/>
  <c r="K4" i="2"/>
  <c r="I7" i="13" l="1"/>
  <c r="I57" i="2"/>
  <c r="I8" i="13" s="1"/>
  <c r="J57" i="2"/>
</calcChain>
</file>

<file path=xl/sharedStrings.xml><?xml version="1.0" encoding="utf-8"?>
<sst xmlns="http://schemas.openxmlformats.org/spreadsheetml/2006/main" count="724" uniqueCount="222">
  <si>
    <t>Date</t>
  </si>
  <si>
    <t>Adjusted Closing Prices</t>
  </si>
  <si>
    <t>Returns</t>
  </si>
  <si>
    <t>Monthly rf</t>
  </si>
  <si>
    <t>Tickers</t>
  </si>
  <si>
    <t>NTPC</t>
  </si>
  <si>
    <t>ADANI POWER</t>
  </si>
  <si>
    <t>TATA POWER</t>
  </si>
  <si>
    <t>JSW ENERGY</t>
  </si>
  <si>
    <t>NHPC</t>
  </si>
  <si>
    <t>POWERGRID</t>
  </si>
  <si>
    <t>Nifty50</t>
  </si>
  <si>
    <t>Company</t>
  </si>
  <si>
    <t>Beta (By Regression)</t>
  </si>
  <si>
    <t>Debt to Equity Ratio</t>
  </si>
  <si>
    <t xml:space="preserve">Tax Rate </t>
  </si>
  <si>
    <t>Unlevered Beta</t>
  </si>
  <si>
    <t>Market Return</t>
  </si>
  <si>
    <t>Risk Free Rate</t>
  </si>
  <si>
    <t>Average Return</t>
  </si>
  <si>
    <t>ADANIPOWER</t>
  </si>
  <si>
    <t>Annualised Return</t>
  </si>
  <si>
    <t>TATAPOWER</t>
  </si>
  <si>
    <t>SUMMARY OUTPUT</t>
  </si>
  <si>
    <t>Regression Statistics</t>
  </si>
  <si>
    <t>R Square</t>
  </si>
  <si>
    <t>Adjusted R Square</t>
  </si>
  <si>
    <t>Observations</t>
  </si>
  <si>
    <t>Coefficients</t>
  </si>
  <si>
    <t>Standard Error</t>
  </si>
  <si>
    <t>t Stat</t>
  </si>
  <si>
    <t>P-value</t>
  </si>
  <si>
    <t>Lower 95%</t>
  </si>
  <si>
    <t>Upper 95%</t>
  </si>
  <si>
    <t>Intercept</t>
  </si>
  <si>
    <t>X Variable 1</t>
  </si>
  <si>
    <t>Adj Close</t>
  </si>
  <si>
    <t>Volume</t>
  </si>
  <si>
    <t>Mve(Monthly)</t>
  </si>
  <si>
    <t>Avg MVE=</t>
  </si>
  <si>
    <t>Companies</t>
  </si>
  <si>
    <t>2025 D/E</t>
  </si>
  <si>
    <t>2024 D/E</t>
  </si>
  <si>
    <t>2023 D/E</t>
  </si>
  <si>
    <t>2022 D/E</t>
  </si>
  <si>
    <t>2021 D/E</t>
  </si>
  <si>
    <t>AVG D/E</t>
  </si>
  <si>
    <t>POWERGIRD</t>
  </si>
  <si>
    <t>Period</t>
  </si>
  <si>
    <t>Cost of Debt for NTPC</t>
  </si>
  <si>
    <t>EBIT</t>
  </si>
  <si>
    <t>Interest Expense</t>
  </si>
  <si>
    <t>Avg. Interest Coverage Ratio</t>
  </si>
  <si>
    <t>Interest Coverage</t>
  </si>
  <si>
    <t>Spread Value</t>
  </si>
  <si>
    <t>Pre Tax Cost of Debt=</t>
  </si>
  <si>
    <t>Weight of Equity=</t>
  </si>
  <si>
    <t>D/E for NTPC</t>
  </si>
  <si>
    <t>Weight of Debt=</t>
  </si>
  <si>
    <t>D/V for NTPC</t>
  </si>
  <si>
    <t>E/V for NTPC</t>
  </si>
  <si>
    <t xml:space="preserve">Market Return </t>
  </si>
  <si>
    <t xml:space="preserve">Cost of Equity </t>
  </si>
  <si>
    <t>Cost of Debt</t>
  </si>
  <si>
    <t>D/E</t>
  </si>
  <si>
    <t>E/V</t>
  </si>
  <si>
    <t>D/V</t>
  </si>
  <si>
    <t>Tax Rate</t>
  </si>
  <si>
    <t>WACC</t>
  </si>
  <si>
    <t>Average of Unlevered Beta for Comparable Firms</t>
  </si>
  <si>
    <t>Market Value of D/E for Target Company</t>
  </si>
  <si>
    <t>Relevered Beta of the Target Company</t>
  </si>
  <si>
    <t>Cost of Equity Capital</t>
  </si>
  <si>
    <t>Income Statement</t>
  </si>
  <si>
    <t>Balance sheet</t>
  </si>
  <si>
    <t>Total Revenue/Income</t>
  </si>
  <si>
    <t>Cost Of Revenue</t>
  </si>
  <si>
    <t>EQUITIES AND LIABILITIES</t>
  </si>
  <si>
    <t>Gross Profit</t>
  </si>
  <si>
    <t>SHAREHOLDER'S FUNDS</t>
  </si>
  <si>
    <t>Total Operating Expense</t>
  </si>
  <si>
    <t>Equity Share Capital</t>
  </si>
  <si>
    <t>Selling General Administrative Expenses</t>
  </si>
  <si>
    <t>Total Share Capital</t>
  </si>
  <si>
    <t>Preference Share Capital</t>
  </si>
  <si>
    <t>Other Operating Expenses</t>
  </si>
  <si>
    <t>Reserves and Surplus</t>
  </si>
  <si>
    <t>1,40,188.35</t>
  </si>
  <si>
    <t>1,29,193.21</t>
  </si>
  <si>
    <t>1,18,354.40</t>
  </si>
  <si>
    <t>1,09,288.82</t>
  </si>
  <si>
    <t>1,03,674.88</t>
  </si>
  <si>
    <t>Sell And Marketing Exp</t>
  </si>
  <si>
    <t>Total Reserves and Surplus</t>
  </si>
  <si>
    <t>Research &amp; Development</t>
  </si>
  <si>
    <t>Total Shareholders Funds</t>
  </si>
  <si>
    <t>1,49,885.02</t>
  </si>
  <si>
    <t>1,38,889.88</t>
  </si>
  <si>
    <t>1,28,051.07</t>
  </si>
  <si>
    <t>1,18,985.49</t>
  </si>
  <si>
    <t>1,13,569.44</t>
  </si>
  <si>
    <t>Depreciation And Amortization</t>
  </si>
  <si>
    <t>NON-CURRENT LIABILITIES</t>
  </si>
  <si>
    <t>Operating Income/Profit</t>
  </si>
  <si>
    <t>Long Term Borrowings</t>
  </si>
  <si>
    <t>1,46,159.07</t>
  </si>
  <si>
    <t>1,56,315.69</t>
  </si>
  <si>
    <t>1,47,374.75</t>
  </si>
  <si>
    <t>1,51,229.62</t>
  </si>
  <si>
    <t>1,46,538.70</t>
  </si>
  <si>
    <t>Hybrid/Debt/Other Securities</t>
  </si>
  <si>
    <t>Interest Income</t>
  </si>
  <si>
    <t>Deferred Tax Liabilities [Net]</t>
  </si>
  <si>
    <t>Total Other Income Expense Net</t>
  </si>
  <si>
    <t>Other Long Term Liabilities</t>
  </si>
  <si>
    <t>EBITDA</t>
  </si>
  <si>
    <t>Long Term Provisions</t>
  </si>
  <si>
    <t>Reconciled Depreciation</t>
  </si>
  <si>
    <t>Total Non-Current Liabilities</t>
  </si>
  <si>
    <t>1,62,497.02</t>
  </si>
  <si>
    <t>1,70,049.43</t>
  </si>
  <si>
    <t>1,61,613.83</t>
  </si>
  <si>
    <t>1,63,799.35</t>
  </si>
  <si>
    <t>1,56,721.55</t>
  </si>
  <si>
    <t>CURRENT LIABILITIES</t>
  </si>
  <si>
    <t>Short Term Borrowings</t>
  </si>
  <si>
    <t>Income/Profit Before Tax</t>
  </si>
  <si>
    <t>Trade Payables</t>
  </si>
  <si>
    <t>Income Tax Expense</t>
  </si>
  <si>
    <t>Other Current Liabilities</t>
  </si>
  <si>
    <t>Tax Provision</t>
  </si>
  <si>
    <t>Short Term Provisions</t>
  </si>
  <si>
    <t>Net Income From Continuing Operation</t>
  </si>
  <si>
    <t>Total Current Liabilities</t>
  </si>
  <si>
    <t>Net Income</t>
  </si>
  <si>
    <t>Total Capital And Liabilities</t>
  </si>
  <si>
    <t>3,93,294.53</t>
  </si>
  <si>
    <t>3,82,387.26</t>
  </si>
  <si>
    <t>3,54,496.80</t>
  </si>
  <si>
    <t>3,43,219.39</t>
  </si>
  <si>
    <t>3,27,667.45</t>
  </si>
  <si>
    <t>Net Income Applicable to Common Share</t>
  </si>
  <si>
    <t>ASSETS</t>
  </si>
  <si>
    <t>EPS (Earning Per Share)</t>
  </si>
  <si>
    <t>NON-CURRENT ASSETS</t>
  </si>
  <si>
    <t>Tangible Assets</t>
  </si>
  <si>
    <t>2,11,323.43</t>
  </si>
  <si>
    <t>1,96,441.71</t>
  </si>
  <si>
    <t>1,79,580.37</t>
  </si>
  <si>
    <t>1,63,892.12</t>
  </si>
  <si>
    <t>1,56,273.02</t>
  </si>
  <si>
    <t>Intangible Assets</t>
  </si>
  <si>
    <t>Capital Work-In-Progress</t>
  </si>
  <si>
    <t>Intangible Assets Under Development</t>
  </si>
  <si>
    <t>Other Assets</t>
  </si>
  <si>
    <t>Fixed Assets</t>
  </si>
  <si>
    <t>2,59,768.02</t>
  </si>
  <si>
    <t>2,59,149.86</t>
  </si>
  <si>
    <t>2,48,762.91</t>
  </si>
  <si>
    <t>2,39,887.36</t>
  </si>
  <si>
    <t>2,30,170.58</t>
  </si>
  <si>
    <t>Non-Current Investments</t>
  </si>
  <si>
    <t>Long Term Loans And Advances</t>
  </si>
  <si>
    <t>Deferred Tax Assets [Net]</t>
  </si>
  <si>
    <t>Other Non-Current Assets</t>
  </si>
  <si>
    <t>Total Non-Current Assets</t>
  </si>
  <si>
    <t>3,07,411.39</t>
  </si>
  <si>
    <t>3,05,779.43</t>
  </si>
  <si>
    <t>2,93,033.58</t>
  </si>
  <si>
    <t>2,84,489.99</t>
  </si>
  <si>
    <t>2,69,719.51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</si>
  <si>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</si>
  <si>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</si>
  <si>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</si>
  <si>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</si>
  <si>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</si>
  <si>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</si>
  <si>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</si>
  <si>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</si>
  <si>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</si>
  <si>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JSW</t>
  </si>
  <si>
    <t>Extraordinary Items</t>
  </si>
  <si>
    <t>1,85,438.00</t>
  </si>
  <si>
    <t>1,72,841.00</t>
  </si>
  <si>
    <t>1,62,870.00</t>
  </si>
  <si>
    <t>1,33,232.00</t>
  </si>
  <si>
    <t>1,22,042.00</t>
  </si>
  <si>
    <t>Discontinued Operations</t>
  </si>
  <si>
    <t>1,42,344.00</t>
  </si>
  <si>
    <t>1,23,697.00</t>
  </si>
  <si>
    <t>1,15,385.00</t>
  </si>
  <si>
    <t>1,03,529.00</t>
  </si>
  <si>
    <t>1,05,066.95</t>
  </si>
  <si>
    <t>1,13,891.29</t>
  </si>
  <si>
    <t>1,14,199.40</t>
  </si>
  <si>
    <t>1,29,080.07</t>
  </si>
  <si>
    <t>1,35,421.11</t>
  </si>
  <si>
    <t>1,19,286.69</t>
  </si>
  <si>
    <t>1,28,923.42</t>
  </si>
  <si>
    <t>1,29,932.16</t>
  </si>
  <si>
    <t>1,45,415.99</t>
  </si>
  <si>
    <t>1,51,104.34</t>
  </si>
  <si>
    <t>2,45,421.41</t>
  </si>
  <si>
    <t>2,46,293.56</t>
  </si>
  <si>
    <t>2,47,877.64</t>
  </si>
  <si>
    <t>2,54,331.93</t>
  </si>
  <si>
    <t>2,55,549.66</t>
  </si>
  <si>
    <t>1,61,333.81</t>
  </si>
  <si>
    <t>1,70,801.36</t>
  </si>
  <si>
    <t>1,78,175.63</t>
  </si>
  <si>
    <t>1,75,392.06</t>
  </si>
  <si>
    <t>1,68,339.02</t>
  </si>
  <si>
    <t>1,72,374.52</t>
  </si>
  <si>
    <t>1,79,976.76</t>
  </si>
  <si>
    <t>1,87,107.75</t>
  </si>
  <si>
    <t>1,94,915.06</t>
  </si>
  <si>
    <t>2,00,236.09</t>
  </si>
  <si>
    <t>2,12,123.34</t>
  </si>
  <si>
    <t>2,14,066.78</t>
  </si>
  <si>
    <t>2,17,548.25</t>
  </si>
  <si>
    <t>2,18,715.51</t>
  </si>
  <si>
    <t>2,27,017.48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</si>
</sst>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\-dd\-yyyy"/>
    <numFmt numFmtId="165" formatCode="0.000%"/>
    <numFmt numFmtId="166" formatCode="mmm\-d"/>
    <numFmt numFmtId="167" formatCode="0.000"/>
    <numFmt numFmtId="168" formatCode="#,##0.000"/>
    <numFmt numFmtId="169" formatCode="mmmm\-d"/>
  </numFmts>
  <fonts count="36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1F1F1F"/>
      <name val="Arial"/>
      <family val="2"/>
    </font>
    <font>
      <sz val="10"/>
      <color theme="1"/>
      <name val="Arial"/>
      <family val="2"/>
      <scheme val="minor"/>
    </font>
    <font>
      <i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lice"/>
    </font>
    <font>
      <b/>
      <sz val="11"/>
      <color theme="1"/>
      <name val="Roboto"/>
    </font>
    <font>
      <b/>
      <sz val="11"/>
      <color theme="1"/>
      <name val="Calibri"/>
      <family val="2"/>
    </font>
    <font>
      <b/>
      <sz val="7"/>
      <color rgb="FF212529"/>
      <name val="Roboto"/>
    </font>
    <font>
      <b/>
      <sz val="11"/>
      <color rgb="FF212529"/>
      <name val="Roboto"/>
    </font>
    <font>
      <sz val="7"/>
      <color rgb="FF212529"/>
      <name val="Roboto"/>
    </font>
    <font>
      <b/>
      <sz val="6"/>
      <color rgb="FF000000"/>
      <name val="Roboto"/>
    </font>
    <font>
      <b/>
      <sz val="5"/>
      <color rgb="FF000000"/>
      <name val="Roboto"/>
    </font>
    <font>
      <sz val="6"/>
      <color rgb="FF000000"/>
      <name val="Roboto"/>
    </font>
    <font>
      <sz val="5"/>
      <color rgb="FF000000"/>
      <name val="Roboto"/>
    </font>
    <font>
      <b/>
      <sz val="11"/>
      <color rgb="FF333333"/>
      <name val="&quot;Fira Sans&quot;"/>
    </font>
    <font>
      <sz val="11"/>
      <color rgb="FF333333"/>
      <name val="&quot;Fira Sans&quot;"/>
    </font>
    <font>
      <sz val="11"/>
      <color rgb="FF333333"/>
      <name val="Latoregular"/>
    </font>
    <font>
      <sz val="11"/>
      <color rgb="FF212529"/>
      <name val="Roboto"/>
    </font>
    <font>
      <b/>
      <sz val="6"/>
      <color rgb="FF212529"/>
      <name val="Roboto"/>
    </font>
    <font>
      <b/>
      <sz val="6"/>
      <color theme="1"/>
      <name val="Roboto"/>
    </font>
    <font>
      <sz val="6"/>
      <color theme="1"/>
      <name val="Roboto"/>
    </font>
    <font>
      <sz val="6"/>
      <color rgb="FF212529"/>
      <name val="Roboto"/>
    </font>
    <font>
      <sz val="6"/>
      <color theme="1"/>
      <name val="Arial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sz val="7"/>
      <color theme="1"/>
      <name val="Roboto"/>
    </font>
    <font>
      <sz val="6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9F9F9"/>
        <bgColor rgb="FFF9F9F9"/>
      </patternFill>
    </fill>
    <fill>
      <patternFill patternType="solid">
        <fgColor rgb="FFF6F8FB"/>
        <bgColor rgb="FFF6F8FB"/>
      </patternFill>
    </fill>
    <fill>
      <patternFill patternType="solid">
        <fgColor rgb="FFE8EBEF"/>
        <bgColor rgb="FFE8EBEF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EEEEEE"/>
      </left>
      <right style="thin">
        <color rgb="FFEEEEEE"/>
      </right>
      <top/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3" borderId="5" xfId="0" applyFont="1" applyFill="1" applyBorder="1" applyAlignment="1">
      <alignment wrapText="1"/>
    </xf>
    <xf numFmtId="0" fontId="2" fillId="0" borderId="5" xfId="0" applyFont="1" applyBorder="1"/>
    <xf numFmtId="0" fontId="1" fillId="4" borderId="5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6" borderId="0" xfId="0" applyFont="1" applyFill="1"/>
    <xf numFmtId="0" fontId="6" fillId="0" borderId="0" xfId="0" applyFont="1"/>
    <xf numFmtId="0" fontId="1" fillId="3" borderId="9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/>
    </xf>
    <xf numFmtId="0" fontId="2" fillId="3" borderId="9" xfId="0" applyFont="1" applyFill="1" applyBorder="1"/>
    <xf numFmtId="0" fontId="1" fillId="7" borderId="9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right"/>
    </xf>
    <xf numFmtId="0" fontId="6" fillId="8" borderId="9" xfId="0" applyFont="1" applyFill="1" applyBorder="1"/>
    <xf numFmtId="9" fontId="2" fillId="8" borderId="9" xfId="0" applyNumberFormat="1" applyFont="1" applyFill="1" applyBorder="1" applyAlignment="1">
      <alignment horizontal="right"/>
    </xf>
    <xf numFmtId="0" fontId="1" fillId="7" borderId="9" xfId="0" applyFont="1" applyFill="1" applyBorder="1" applyAlignment="1">
      <alignment horizontal="center"/>
    </xf>
    <xf numFmtId="165" fontId="2" fillId="8" borderId="9" xfId="0" applyNumberFormat="1" applyFont="1" applyFill="1" applyBorder="1" applyAlignment="1">
      <alignment horizontal="right"/>
    </xf>
    <xf numFmtId="0" fontId="1" fillId="7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right"/>
    </xf>
    <xf numFmtId="0" fontId="2" fillId="8" borderId="0" xfId="0" applyFont="1" applyFill="1"/>
    <xf numFmtId="0" fontId="2" fillId="0" borderId="0" xfId="0" applyFont="1"/>
    <xf numFmtId="0" fontId="7" fillId="3" borderId="11" xfId="0" applyFont="1" applyFill="1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right"/>
    </xf>
    <xf numFmtId="0" fontId="2" fillId="3" borderId="12" xfId="0" applyFont="1" applyFill="1" applyBorder="1"/>
    <xf numFmtId="0" fontId="2" fillId="0" borderId="12" xfId="0" applyFont="1" applyBorder="1" applyAlignment="1">
      <alignment horizontal="right"/>
    </xf>
    <xf numFmtId="0" fontId="2" fillId="0" borderId="11" xfId="0" applyFont="1" applyBorder="1"/>
    <xf numFmtId="0" fontId="2" fillId="0" borderId="13" xfId="0" applyFont="1" applyBorder="1" applyAlignment="1">
      <alignment horizontal="right"/>
    </xf>
    <xf numFmtId="0" fontId="8" fillId="9" borderId="0" xfId="0" applyFont="1" applyFill="1"/>
    <xf numFmtId="0" fontId="1" fillId="3" borderId="0" xfId="0" applyFont="1" applyFill="1"/>
    <xf numFmtId="11" fontId="4" fillId="0" borderId="0" xfId="0" applyNumberFormat="1" applyFont="1" applyAlignment="1">
      <alignment horizontal="right"/>
    </xf>
    <xf numFmtId="11" fontId="6" fillId="0" borderId="0" xfId="0" applyNumberFormat="1" applyFont="1"/>
    <xf numFmtId="0" fontId="2" fillId="2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11" fontId="2" fillId="2" borderId="0" xfId="0" applyNumberFormat="1" applyFont="1" applyFill="1" applyAlignment="1">
      <alignment horizontal="right"/>
    </xf>
    <xf numFmtId="0" fontId="9" fillId="3" borderId="9" xfId="0" applyFont="1" applyFill="1" applyBorder="1"/>
    <xf numFmtId="0" fontId="6" fillId="3" borderId="0" xfId="0" applyFont="1" applyFill="1"/>
    <xf numFmtId="0" fontId="6" fillId="0" borderId="9" xfId="0" applyFont="1" applyBorder="1"/>
    <xf numFmtId="0" fontId="6" fillId="2" borderId="9" xfId="0" applyFont="1" applyFill="1" applyBorder="1"/>
    <xf numFmtId="166" fontId="9" fillId="3" borderId="9" xfId="0" applyNumberFormat="1" applyFont="1" applyFill="1" applyBorder="1"/>
    <xf numFmtId="0" fontId="6" fillId="6" borderId="0" xfId="0" applyFont="1" applyFill="1"/>
    <xf numFmtId="0" fontId="6" fillId="3" borderId="9" xfId="0" applyFont="1" applyFill="1" applyBorder="1" applyAlignment="1">
      <alignment horizontal="left"/>
    </xf>
    <xf numFmtId="0" fontId="9" fillId="11" borderId="0" xfId="0" applyFont="1" applyFill="1"/>
    <xf numFmtId="0" fontId="9" fillId="0" borderId="0" xfId="0" applyFont="1"/>
    <xf numFmtId="10" fontId="6" fillId="0" borderId="9" xfId="0" applyNumberFormat="1" applyFont="1" applyBorder="1"/>
    <xf numFmtId="165" fontId="2" fillId="0" borderId="9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9" fontId="2" fillId="0" borderId="9" xfId="0" applyNumberFormat="1" applyFont="1" applyBorder="1" applyAlignment="1">
      <alignment horizontal="right"/>
    </xf>
    <xf numFmtId="165" fontId="2" fillId="2" borderId="9" xfId="0" applyNumberFormat="1" applyFont="1" applyFill="1" applyBorder="1" applyAlignment="1">
      <alignment horizontal="right"/>
    </xf>
    <xf numFmtId="167" fontId="2" fillId="2" borderId="9" xfId="0" applyNumberFormat="1" applyFont="1" applyFill="1" applyBorder="1" applyAlignment="1">
      <alignment horizontal="center"/>
    </xf>
    <xf numFmtId="168" fontId="2" fillId="2" borderId="9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169" fontId="12" fillId="3" borderId="0" xfId="0" applyNumberFormat="1" applyFont="1" applyFill="1" applyAlignment="1">
      <alignment horizontal="center"/>
    </xf>
    <xf numFmtId="169" fontId="12" fillId="0" borderId="0" xfId="0" applyNumberFormat="1" applyFont="1" applyAlignment="1">
      <alignment horizontal="center"/>
    </xf>
    <xf numFmtId="0" fontId="14" fillId="7" borderId="2" xfId="0" applyFont="1" applyFill="1" applyBorder="1"/>
    <xf numFmtId="0" fontId="15" fillId="0" borderId="0" xfId="0" applyFont="1"/>
    <xf numFmtId="0" fontId="15" fillId="0" borderId="0" xfId="0" applyFont="1" applyAlignment="1">
      <alignment horizontal="right"/>
    </xf>
    <xf numFmtId="0" fontId="16" fillId="6" borderId="4" xfId="0" applyFont="1" applyFill="1" applyBorder="1"/>
    <xf numFmtId="0" fontId="17" fillId="6" borderId="9" xfId="0" applyFont="1" applyFill="1" applyBorder="1"/>
    <xf numFmtId="0" fontId="17" fillId="6" borderId="9" xfId="0" applyFont="1" applyFill="1" applyBorder="1" applyAlignment="1">
      <alignment horizontal="right"/>
    </xf>
    <xf numFmtId="0" fontId="18" fillId="6" borderId="2" xfId="0" applyFont="1" applyFill="1" applyBorder="1" applyAlignment="1">
      <alignment horizontal="right"/>
    </xf>
    <xf numFmtId="0" fontId="16" fillId="12" borderId="4" xfId="0" applyFont="1" applyFill="1" applyBorder="1"/>
    <xf numFmtId="0" fontId="18" fillId="6" borderId="4" xfId="0" applyFont="1" applyFill="1" applyBorder="1" applyAlignment="1">
      <alignment horizontal="right"/>
    </xf>
    <xf numFmtId="0" fontId="14" fillId="7" borderId="4" xfId="0" applyFont="1" applyFill="1" applyBorder="1"/>
    <xf numFmtId="0" fontId="19" fillId="6" borderId="9" xfId="0" applyFont="1" applyFill="1" applyBorder="1"/>
    <xf numFmtId="4" fontId="19" fillId="6" borderId="9" xfId="0" applyNumberFormat="1" applyFont="1" applyFill="1" applyBorder="1" applyAlignment="1">
      <alignment horizontal="right"/>
    </xf>
    <xf numFmtId="0" fontId="20" fillId="6" borderId="15" xfId="0" applyFont="1" applyFill="1" applyBorder="1"/>
    <xf numFmtId="4" fontId="20" fillId="6" borderId="4" xfId="0" applyNumberFormat="1" applyFont="1" applyFill="1" applyBorder="1" applyAlignment="1">
      <alignment horizontal="right"/>
    </xf>
    <xf numFmtId="0" fontId="17" fillId="7" borderId="9" xfId="0" applyFont="1" applyFill="1" applyBorder="1"/>
    <xf numFmtId="4" fontId="17" fillId="7" borderId="9" xfId="0" applyNumberFormat="1" applyFont="1" applyFill="1" applyBorder="1" applyAlignment="1">
      <alignment horizontal="right"/>
    </xf>
    <xf numFmtId="0" fontId="20" fillId="6" borderId="4" xfId="0" applyFont="1" applyFill="1" applyBorder="1" applyAlignment="1">
      <alignment horizontal="right"/>
    </xf>
    <xf numFmtId="0" fontId="19" fillId="6" borderId="9" xfId="0" applyFont="1" applyFill="1" applyBorder="1" applyAlignment="1">
      <alignment horizontal="right"/>
    </xf>
    <xf numFmtId="0" fontId="18" fillId="7" borderId="15" xfId="0" applyFont="1" applyFill="1" applyBorder="1"/>
    <xf numFmtId="4" fontId="18" fillId="7" borderId="4" xfId="0" applyNumberFormat="1" applyFont="1" applyFill="1" applyBorder="1" applyAlignment="1">
      <alignment horizontal="right"/>
    </xf>
    <xf numFmtId="0" fontId="17" fillId="7" borderId="9" xfId="0" applyFont="1" applyFill="1" applyBorder="1" applyAlignment="1">
      <alignment horizontal="right"/>
    </xf>
    <xf numFmtId="4" fontId="21" fillId="13" borderId="16" xfId="0" applyNumberFormat="1" applyFont="1" applyFill="1" applyBorder="1" applyAlignment="1">
      <alignment horizontal="right" vertical="top"/>
    </xf>
    <xf numFmtId="4" fontId="17" fillId="6" borderId="9" xfId="0" applyNumberFormat="1" applyFont="1" applyFill="1" applyBorder="1"/>
    <xf numFmtId="4" fontId="17" fillId="6" borderId="9" xfId="0" applyNumberFormat="1" applyFont="1" applyFill="1" applyBorder="1" applyAlignment="1">
      <alignment horizontal="right"/>
    </xf>
    <xf numFmtId="4" fontId="22" fillId="0" borderId="16" xfId="0" applyNumberFormat="1" applyFont="1" applyBorder="1" applyAlignment="1">
      <alignment horizontal="right" vertical="top"/>
    </xf>
    <xf numFmtId="0" fontId="14" fillId="6" borderId="4" xfId="0" applyFont="1" applyFill="1" applyBorder="1"/>
    <xf numFmtId="0" fontId="14" fillId="12" borderId="4" xfId="0" applyFont="1" applyFill="1" applyBorder="1"/>
    <xf numFmtId="0" fontId="22" fillId="0" borderId="16" xfId="0" applyFont="1" applyBorder="1" applyAlignment="1">
      <alignment horizontal="right" vertical="top"/>
    </xf>
    <xf numFmtId="0" fontId="14" fillId="7" borderId="0" xfId="0" applyFont="1" applyFill="1" applyAlignment="1">
      <alignment horizontal="right"/>
    </xf>
    <xf numFmtId="4" fontId="14" fillId="7" borderId="4" xfId="0" applyNumberFormat="1" applyFont="1" applyFill="1" applyBorder="1"/>
    <xf numFmtId="4" fontId="23" fillId="6" borderId="0" xfId="0" applyNumberFormat="1" applyFont="1" applyFill="1" applyAlignment="1">
      <alignment horizontal="right"/>
    </xf>
    <xf numFmtId="0" fontId="18" fillId="7" borderId="4" xfId="0" applyFont="1" applyFill="1" applyBorder="1" applyAlignment="1">
      <alignment horizontal="right"/>
    </xf>
    <xf numFmtId="0" fontId="24" fillId="0" borderId="0" xfId="0" applyFont="1"/>
    <xf numFmtId="0" fontId="24" fillId="0" borderId="0" xfId="0" applyFont="1" applyAlignment="1">
      <alignment horizontal="right"/>
    </xf>
    <xf numFmtId="0" fontId="25" fillId="7" borderId="9" xfId="0" applyFont="1" applyFill="1" applyBorder="1"/>
    <xf numFmtId="0" fontId="25" fillId="7" borderId="2" xfId="0" applyFont="1" applyFill="1" applyBorder="1" applyAlignment="1">
      <alignment horizontal="right"/>
    </xf>
    <xf numFmtId="0" fontId="27" fillId="6" borderId="9" xfId="0" applyFont="1" applyFill="1" applyBorder="1" applyAlignment="1">
      <alignment horizontal="right"/>
    </xf>
    <xf numFmtId="0" fontId="28" fillId="6" borderId="15" xfId="0" applyFont="1" applyFill="1" applyBorder="1"/>
    <xf numFmtId="0" fontId="28" fillId="6" borderId="4" xfId="0" applyFont="1" applyFill="1" applyBorder="1" applyAlignment="1">
      <alignment horizontal="right"/>
    </xf>
    <xf numFmtId="0" fontId="25" fillId="12" borderId="15" xfId="0" applyFont="1" applyFill="1" applyBorder="1"/>
    <xf numFmtId="0" fontId="25" fillId="12" borderId="4" xfId="0" applyFont="1" applyFill="1" applyBorder="1" applyAlignment="1">
      <alignment horizontal="right"/>
    </xf>
    <xf numFmtId="0" fontId="27" fillId="6" borderId="9" xfId="0" applyFont="1" applyFill="1" applyBorder="1"/>
    <xf numFmtId="0" fontId="29" fillId="0" borderId="0" xfId="0" applyFont="1"/>
    <xf numFmtId="0" fontId="30" fillId="6" borderId="2" xfId="0" applyFont="1" applyFill="1" applyBorder="1" applyAlignment="1">
      <alignment horizontal="right"/>
    </xf>
    <xf numFmtId="0" fontId="26" fillId="7" borderId="9" xfId="0" applyFont="1" applyFill="1" applyBorder="1"/>
    <xf numFmtId="0" fontId="27" fillId="7" borderId="9" xfId="0" applyFont="1" applyFill="1" applyBorder="1" applyAlignment="1">
      <alignment horizontal="right"/>
    </xf>
    <xf numFmtId="0" fontId="30" fillId="6" borderId="4" xfId="0" applyFont="1" applyFill="1" applyBorder="1" applyAlignment="1">
      <alignment horizontal="right"/>
    </xf>
    <xf numFmtId="0" fontId="28" fillId="12" borderId="15" xfId="0" applyFont="1" applyFill="1" applyBorder="1"/>
    <xf numFmtId="0" fontId="28" fillId="12" borderId="4" xfId="0" applyFont="1" applyFill="1" applyBorder="1" applyAlignment="1">
      <alignment horizontal="right"/>
    </xf>
    <xf numFmtId="4" fontId="27" fillId="6" borderId="9" xfId="0" applyNumberFormat="1" applyFont="1" applyFill="1" applyBorder="1" applyAlignment="1">
      <alignment horizontal="right"/>
    </xf>
    <xf numFmtId="0" fontId="31" fillId="6" borderId="15" xfId="0" applyFont="1" applyFill="1" applyBorder="1"/>
    <xf numFmtId="0" fontId="31" fillId="6" borderId="4" xfId="0" applyFont="1" applyFill="1" applyBorder="1" applyAlignment="1">
      <alignment horizontal="right"/>
    </xf>
    <xf numFmtId="4" fontId="27" fillId="7" borderId="9" xfId="0" applyNumberFormat="1" applyFont="1" applyFill="1" applyBorder="1" applyAlignment="1">
      <alignment horizontal="right"/>
    </xf>
    <xf numFmtId="0" fontId="30" fillId="7" borderId="15" xfId="0" applyFont="1" applyFill="1" applyBorder="1"/>
    <xf numFmtId="0" fontId="30" fillId="7" borderId="4" xfId="0" applyFont="1" applyFill="1" applyBorder="1" applyAlignment="1">
      <alignment horizontal="right"/>
    </xf>
    <xf numFmtId="4" fontId="31" fillId="6" borderId="4" xfId="0" applyNumberFormat="1" applyFont="1" applyFill="1" applyBorder="1" applyAlignment="1">
      <alignment horizontal="right"/>
    </xf>
    <xf numFmtId="4" fontId="30" fillId="7" borderId="4" xfId="0" applyNumberFormat="1" applyFont="1" applyFill="1" applyBorder="1" applyAlignment="1">
      <alignment horizontal="right"/>
    </xf>
    <xf numFmtId="0" fontId="25" fillId="7" borderId="15" xfId="0" applyFont="1" applyFill="1" applyBorder="1"/>
    <xf numFmtId="0" fontId="25" fillId="7" borderId="4" xfId="0" applyFont="1" applyFill="1" applyBorder="1" applyAlignment="1">
      <alignment horizontal="right"/>
    </xf>
    <xf numFmtId="0" fontId="16" fillId="6" borderId="0" xfId="0" applyFont="1" applyFill="1" applyAlignment="1">
      <alignment vertical="top"/>
    </xf>
    <xf numFmtId="0" fontId="32" fillId="0" borderId="0" xfId="0" applyFont="1"/>
    <xf numFmtId="0" fontId="30" fillId="14" borderId="15" xfId="0" applyFont="1" applyFill="1" applyBorder="1"/>
    <xf numFmtId="4" fontId="30" fillId="14" borderId="4" xfId="0" applyNumberFormat="1" applyFont="1" applyFill="1" applyBorder="1" applyAlignment="1">
      <alignment horizontal="right"/>
    </xf>
    <xf numFmtId="0" fontId="26" fillId="7" borderId="17" xfId="0" applyFont="1" applyFill="1" applyBorder="1"/>
    <xf numFmtId="4" fontId="27" fillId="7" borderId="17" xfId="0" applyNumberFormat="1" applyFont="1" applyFill="1" applyBorder="1" applyAlignment="1">
      <alignment horizontal="right"/>
    </xf>
    <xf numFmtId="0" fontId="30" fillId="7" borderId="18" xfId="0" applyFont="1" applyFill="1" applyBorder="1"/>
    <xf numFmtId="0" fontId="30" fillId="7" borderId="3" xfId="0" applyFont="1" applyFill="1" applyBorder="1" applyAlignment="1">
      <alignment horizontal="right"/>
    </xf>
    <xf numFmtId="0" fontId="27" fillId="6" borderId="0" xfId="0" applyFont="1" applyFill="1" applyAlignment="1">
      <alignment horizontal="right"/>
    </xf>
    <xf numFmtId="0" fontId="30" fillId="6" borderId="0" xfId="0" applyFont="1" applyFill="1" applyAlignment="1">
      <alignment horizontal="right"/>
    </xf>
    <xf numFmtId="0" fontId="27" fillId="6" borderId="0" xfId="0" applyFont="1" applyFill="1"/>
    <xf numFmtId="0" fontId="31" fillId="6" borderId="0" xfId="0" applyFont="1" applyFill="1"/>
    <xf numFmtId="0" fontId="31" fillId="6" borderId="0" xfId="0" applyFont="1" applyFill="1" applyAlignment="1">
      <alignment horizontal="right"/>
    </xf>
    <xf numFmtId="0" fontId="33" fillId="6" borderId="19" xfId="0" applyFont="1" applyFill="1" applyBorder="1"/>
    <xf numFmtId="0" fontId="33" fillId="6" borderId="19" xfId="0" applyFont="1" applyFill="1" applyBorder="1" applyAlignment="1">
      <alignment horizontal="right"/>
    </xf>
    <xf numFmtId="0" fontId="34" fillId="6" borderId="0" xfId="0" applyFont="1" applyFill="1"/>
    <xf numFmtId="0" fontId="6" fillId="7" borderId="0" xfId="0" applyFont="1" applyFill="1"/>
    <xf numFmtId="0" fontId="30" fillId="7" borderId="2" xfId="0" applyFont="1" applyFill="1" applyBorder="1" applyAlignment="1">
      <alignment horizontal="right"/>
    </xf>
    <xf numFmtId="0" fontId="30" fillId="7" borderId="14" xfId="0" applyFont="1" applyFill="1" applyBorder="1" applyAlignment="1">
      <alignment horizontal="right"/>
    </xf>
    <xf numFmtId="0" fontId="35" fillId="7" borderId="0" xfId="0" applyFont="1" applyFill="1"/>
    <xf numFmtId="0" fontId="29" fillId="7" borderId="0" xfId="0" applyFont="1" applyFill="1"/>
    <xf numFmtId="0" fontId="17" fillId="7" borderId="2" xfId="0" applyFont="1" applyFill="1" applyBorder="1" applyAlignment="1">
      <alignment horizontal="right"/>
    </xf>
    <xf numFmtId="0" fontId="30" fillId="6" borderId="10" xfId="0" applyFont="1" applyFill="1" applyBorder="1" applyAlignment="1">
      <alignment horizontal="right"/>
    </xf>
    <xf numFmtId="0" fontId="35" fillId="0" borderId="0" xfId="0" applyFont="1"/>
    <xf numFmtId="0" fontId="17" fillId="6" borderId="4" xfId="0" applyFont="1" applyFill="1" applyBorder="1" applyAlignment="1">
      <alignment horizontal="right"/>
    </xf>
    <xf numFmtId="4" fontId="31" fillId="6" borderId="10" xfId="0" applyNumberFormat="1" applyFont="1" applyFill="1" applyBorder="1" applyAlignment="1">
      <alignment horizontal="right"/>
    </xf>
    <xf numFmtId="0" fontId="19" fillId="7" borderId="15" xfId="0" applyFont="1" applyFill="1" applyBorder="1"/>
    <xf numFmtId="4" fontId="19" fillId="7" borderId="4" xfId="0" applyNumberFormat="1" applyFont="1" applyFill="1" applyBorder="1" applyAlignment="1">
      <alignment horizontal="right"/>
    </xf>
    <xf numFmtId="4" fontId="30" fillId="7" borderId="10" xfId="0" applyNumberFormat="1" applyFont="1" applyFill="1" applyBorder="1" applyAlignment="1">
      <alignment horizontal="right"/>
    </xf>
    <xf numFmtId="0" fontId="17" fillId="7" borderId="15" xfId="0" applyFont="1" applyFill="1" applyBorder="1"/>
    <xf numFmtId="4" fontId="17" fillId="7" borderId="4" xfId="0" applyNumberFormat="1" applyFont="1" applyFill="1" applyBorder="1" applyAlignment="1">
      <alignment horizontal="right"/>
    </xf>
    <xf numFmtId="0" fontId="19" fillId="6" borderId="15" xfId="0" applyFont="1" applyFill="1" applyBorder="1"/>
    <xf numFmtId="4" fontId="19" fillId="6" borderId="4" xfId="0" applyNumberFormat="1" applyFont="1" applyFill="1" applyBorder="1" applyAlignment="1">
      <alignment horizontal="right"/>
    </xf>
    <xf numFmtId="0" fontId="31" fillId="6" borderId="10" xfId="0" applyFont="1" applyFill="1" applyBorder="1" applyAlignment="1">
      <alignment horizontal="right"/>
    </xf>
    <xf numFmtId="0" fontId="19" fillId="6" borderId="4" xfId="0" applyFont="1" applyFill="1" applyBorder="1" applyAlignment="1">
      <alignment horizontal="right"/>
    </xf>
    <xf numFmtId="0" fontId="30" fillId="7" borderId="10" xfId="0" applyFont="1" applyFill="1" applyBorder="1" applyAlignment="1">
      <alignment horizontal="right"/>
    </xf>
    <xf numFmtId="4" fontId="17" fillId="6" borderId="4" xfId="0" applyNumberFormat="1" applyFont="1" applyFill="1" applyBorder="1" applyAlignment="1">
      <alignment horizontal="right"/>
    </xf>
    <xf numFmtId="0" fontId="0" fillId="0" borderId="0" xfId="0"/>
    <xf numFmtId="0" fontId="1" fillId="3" borderId="6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7" fillId="3" borderId="11" xfId="0" applyFont="1" applyFill="1" applyBorder="1" applyAlignment="1">
      <alignment horizontal="center"/>
    </xf>
    <xf numFmtId="0" fontId="3" fillId="0" borderId="11" xfId="0" applyFont="1" applyBorder="1"/>
    <xf numFmtId="0" fontId="8" fillId="9" borderId="0" xfId="0" applyFont="1" applyFill="1"/>
    <xf numFmtId="0" fontId="10" fillId="11" borderId="1" xfId="0" applyFont="1" applyFill="1" applyBorder="1" applyAlignment="1">
      <alignment horizontal="center"/>
    </xf>
    <xf numFmtId="0" fontId="3" fillId="0" borderId="2" xfId="0" applyFont="1" applyBorder="1"/>
    <xf numFmtId="0" fontId="1" fillId="3" borderId="1" xfId="0" applyFont="1" applyFill="1" applyBorder="1" applyAlignment="1">
      <alignment horizontal="center"/>
    </xf>
    <xf numFmtId="0" fontId="3" fillId="0" borderId="14" xfId="0" applyFont="1" applyBorder="1"/>
    <xf numFmtId="0" fontId="30" fillId="6" borderId="1" xfId="0" applyFont="1" applyFill="1" applyBorder="1"/>
    <xf numFmtId="0" fontId="17" fillId="6" borderId="1" xfId="0" applyFont="1" applyFill="1" applyBorder="1"/>
    <xf numFmtId="0" fontId="30" fillId="7" borderId="1" xfId="0" applyFont="1" applyFill="1" applyBorder="1"/>
    <xf numFmtId="0" fontId="17" fillId="7" borderId="1" xfId="0" applyFont="1" applyFill="1" applyBorder="1"/>
    <xf numFmtId="0" fontId="11" fillId="9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18" fillId="6" borderId="1" xfId="0" applyFont="1" applyFill="1" applyBorder="1"/>
    <xf numFmtId="0" fontId="26" fillId="6" borderId="1" xfId="0" applyFont="1" applyFill="1" applyBorder="1"/>
    <xf numFmtId="0" fontId="27" fillId="6" borderId="1" xfId="0" applyFont="1" applyFill="1" applyBorder="1"/>
    <xf numFmtId="0" fontId="26" fillId="6" borderId="0" xfId="0" applyFont="1" applyFill="1"/>
    <xf numFmtId="0" fontId="30" fillId="6" borderId="0" xfId="0" applyFont="1" applyFill="1"/>
    <xf numFmtId="0" fontId="3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58</xdr:row>
      <xdr:rowOff>66675</xdr:rowOff>
    </xdr:from>
    <xdr:ext cx="6267450" cy="1504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3825" y="940750"/>
          <a:ext cx="6247800" cy="1482600"/>
        </a:xfrm>
        <a:prstGeom prst="rect">
          <a:avLst/>
        </a:prstGeom>
        <a:solidFill>
          <a:srgbClr val="CFE2F3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/>
            <a:t>Comments:</a:t>
          </a:r>
          <a:br>
            <a:rPr lang="en-US" sz="1600" b="1"/>
          </a:br>
          <a:r>
            <a:rPr lang="en-US" sz="1600" b="1"/>
            <a:t>Market Value of Equity = Share price*Outstanding shares</a:t>
          </a:r>
          <a:endParaRPr sz="16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190500</xdr:rowOff>
    </xdr:from>
    <xdr:ext cx="4562475" cy="1276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81800" y="1267975"/>
          <a:ext cx="4540200" cy="1257900"/>
        </a:xfrm>
        <a:prstGeom prst="rect">
          <a:avLst/>
        </a:prstGeom>
        <a:solidFill>
          <a:srgbClr val="9FC5E8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Comments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Average of the 4 years debt/equity ratio has been deduced by finding the debt from the income and balance sheets and calculating Market value of Equity of the respective companies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790575</xdr:colOff>
      <xdr:row>4</xdr:row>
      <xdr:rowOff>142875</xdr:rowOff>
    </xdr:from>
    <xdr:ext cx="2971800" cy="3448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1278200" y="449925"/>
          <a:ext cx="2842800" cy="33030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So, here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Beta is 1.0881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(P value is less than 0.05, so we can consider Beta as significant).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Risk Free Rate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(Rf ) = 6.750%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Market Return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(Rm)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10.889%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Hence,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Market Risk Premium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(Rm- Rf) = 10.889% - 6.750% = 4.139%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Cost of Equity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(Rs) = Rf + Beta*(Rm- Rf)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= 6.750% + 1.0881*(4.139%)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= 11.254%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Cost of Debt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(Rb) = 10.414%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D/E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1.476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D/V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0.404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E/V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0.596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WACC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E/V*Rs + D/V*(1-Tax Rate)*(Rb)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= 0.404*0.1125 + 0.404*(1-0.3)*(0.104)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= 8.891%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13</xdr:row>
      <xdr:rowOff>200025</xdr:rowOff>
    </xdr:from>
    <xdr:ext cx="4019550" cy="2895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521500" y="708350"/>
          <a:ext cx="4317900" cy="28734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Beta is 1.469 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Risk Free Rate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(Rf ) = 6.750%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Market Return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(Rm)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10.889%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Hence,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Market Risk Premium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(Rm- Rf) = 10.889% - 6.750%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                                    =4.139%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Cost of Equity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(Rs) = Rf + Beta*(Rm- Rf)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= 6.750% + 1.469*(4.139%)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                  = 12.830%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Cost of Debt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(Rb) = 10.414%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D/E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1.476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D/V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0.596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E/V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0.404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WACC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E/V*Rs + D/V*(1-Tax Rate)*(Rb)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= 0.596*0.1283+ 0.596*(1-0.3)*(0.104)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= 9.214%</a:t>
          </a:r>
          <a:endParaRPr sz="14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61"/>
  <sheetViews>
    <sheetView tabSelected="1" workbookViewId="0"/>
  </sheetViews>
  <sheetFormatPr defaultColWidth="12.6328125" defaultRowHeight="15.75" customHeight="1"/>
  <cols>
    <col min="1" max="1" width="16" customWidth="1"/>
    <col min="8" max="8" width="19.90625" customWidth="1"/>
  </cols>
  <sheetData>
    <row r="1" spans="1:18" ht="15.75" customHeight="1">
      <c r="A1" s="1" t="s">
        <v>0</v>
      </c>
      <c r="B1" s="2"/>
      <c r="C1" s="152" t="s">
        <v>1</v>
      </c>
      <c r="D1" s="153"/>
      <c r="E1" s="153"/>
      <c r="F1" s="153"/>
      <c r="G1" s="153"/>
      <c r="H1" s="153"/>
      <c r="I1" s="154"/>
      <c r="J1" s="2"/>
      <c r="K1" s="152" t="s">
        <v>2</v>
      </c>
      <c r="L1" s="153"/>
      <c r="M1" s="153"/>
      <c r="N1" s="153"/>
      <c r="O1" s="153"/>
      <c r="P1" s="153"/>
      <c r="Q1" s="154"/>
      <c r="R1" s="3" t="s">
        <v>3</v>
      </c>
    </row>
    <row r="2" spans="1:18" ht="15.75" customHeight="1">
      <c r="A2" s="4" t="s">
        <v>4</v>
      </c>
      <c r="B2" s="2"/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2"/>
      <c r="K2" s="4" t="s">
        <v>5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  <c r="R2" s="2"/>
    </row>
    <row r="3" spans="1:18" ht="15.75" customHeight="1">
      <c r="A3" s="5">
        <v>44200</v>
      </c>
      <c r="C3" s="6">
        <v>85.412139999999994</v>
      </c>
      <c r="D3" s="6">
        <v>94.75</v>
      </c>
      <c r="E3" s="6">
        <v>95.522170000000003</v>
      </c>
      <c r="F3" s="6">
        <v>106.72029999999999</v>
      </c>
      <c r="G3" s="6">
        <v>20.773099999999999</v>
      </c>
      <c r="H3" s="6">
        <v>100.7787</v>
      </c>
      <c r="I3" s="6">
        <v>14631.1</v>
      </c>
      <c r="Q3" s="7"/>
      <c r="R3" s="6">
        <v>6.03</v>
      </c>
    </row>
    <row r="4" spans="1:18" ht="15.75" customHeight="1">
      <c r="A4" s="5">
        <v>44201</v>
      </c>
      <c r="C4" s="6">
        <v>92.123400000000004</v>
      </c>
      <c r="D4" s="6">
        <v>92.5</v>
      </c>
      <c r="E4" s="6">
        <v>102.8663</v>
      </c>
      <c r="F4" s="6">
        <v>114.6562</v>
      </c>
      <c r="G4" s="6">
        <v>22.272189999999998</v>
      </c>
      <c r="H4" s="6">
        <v>103.3434</v>
      </c>
      <c r="I4" s="6">
        <v>15582.8</v>
      </c>
      <c r="K4" s="8">
        <f t="shared" ref="K4:Q4" si="0">LN(C4/C3)</f>
        <v>7.5640737393494584E-2</v>
      </c>
      <c r="L4" s="8">
        <f t="shared" si="0"/>
        <v>-2.403319944415622E-2</v>
      </c>
      <c r="M4" s="8">
        <f t="shared" si="0"/>
        <v>7.4071719628136343E-2</v>
      </c>
      <c r="N4" s="8">
        <f t="shared" si="0"/>
        <v>7.1726692211518145E-2</v>
      </c>
      <c r="O4" s="8">
        <f t="shared" si="0"/>
        <v>6.9679934524291526E-2</v>
      </c>
      <c r="P4" s="8">
        <f t="shared" si="0"/>
        <v>2.5130399636507993E-2</v>
      </c>
      <c r="Q4" s="7">
        <f t="shared" si="0"/>
        <v>6.3018341706496755E-2</v>
      </c>
      <c r="R4" s="6">
        <v>6.0220000000000002</v>
      </c>
    </row>
    <row r="5" spans="1:18" ht="15.75" customHeight="1">
      <c r="A5" s="5">
        <v>44202</v>
      </c>
      <c r="C5" s="6">
        <v>97.042199999999994</v>
      </c>
      <c r="D5" s="6">
        <v>113.45</v>
      </c>
      <c r="E5" s="6">
        <v>117.9894</v>
      </c>
      <c r="F5" s="6">
        <v>163.3425</v>
      </c>
      <c r="G5" s="6">
        <v>22.443519999999999</v>
      </c>
      <c r="H5" s="6">
        <v>106.4348</v>
      </c>
      <c r="I5" s="6">
        <v>15721.5</v>
      </c>
      <c r="K5" s="8">
        <f t="shared" ref="K5:Q5" si="1">LN(C5/C4)</f>
        <v>5.201695279052853E-2</v>
      </c>
      <c r="L5" s="8">
        <f t="shared" si="1"/>
        <v>0.20415356670747134</v>
      </c>
      <c r="M5" s="8">
        <f t="shared" si="1"/>
        <v>0.13716470315236048</v>
      </c>
      <c r="N5" s="8">
        <f t="shared" si="1"/>
        <v>0.35391113784140305</v>
      </c>
      <c r="O5" s="8">
        <f t="shared" si="1"/>
        <v>7.6631160914937832E-3</v>
      </c>
      <c r="P5" s="8">
        <f t="shared" si="1"/>
        <v>2.9475167680782538E-2</v>
      </c>
      <c r="Q5" s="7">
        <f t="shared" si="1"/>
        <v>8.8614604142238061E-3</v>
      </c>
      <c r="R5" s="6">
        <v>6.0510000000000002</v>
      </c>
    </row>
    <row r="6" spans="1:18" ht="15.75" customHeight="1">
      <c r="A6" s="5">
        <v>44203</v>
      </c>
      <c r="C6" s="6">
        <v>98.542839999999998</v>
      </c>
      <c r="D6" s="6">
        <v>95.85</v>
      </c>
      <c r="E6" s="6">
        <v>122.29689999999999</v>
      </c>
      <c r="F6" s="6">
        <v>245.9144</v>
      </c>
      <c r="G6" s="6">
        <v>22.486350000000002</v>
      </c>
      <c r="H6" s="6">
        <v>104.51130000000001</v>
      </c>
      <c r="I6" s="6">
        <v>15763.05</v>
      </c>
      <c r="K6" s="8">
        <f t="shared" ref="K6:Q6" si="2">LN(C6/C5)</f>
        <v>1.5345442041655387E-2</v>
      </c>
      <c r="L6" s="8">
        <f t="shared" si="2"/>
        <v>-0.16857774173419729</v>
      </c>
      <c r="M6" s="8">
        <f t="shared" si="2"/>
        <v>3.5856904943552183E-2</v>
      </c>
      <c r="N6" s="8">
        <f t="shared" si="2"/>
        <v>0.40913428458722029</v>
      </c>
      <c r="O6" s="8">
        <f t="shared" si="2"/>
        <v>1.9065273491054577E-3</v>
      </c>
      <c r="P6" s="8">
        <f t="shared" si="2"/>
        <v>-1.8237391571645282E-2</v>
      </c>
      <c r="Q6" s="7">
        <f t="shared" si="2"/>
        <v>2.6393913281980434E-3</v>
      </c>
      <c r="R6" s="6">
        <v>6.2039999999999997</v>
      </c>
    </row>
    <row r="7" spans="1:18" ht="15.75" customHeight="1">
      <c r="A7" s="5">
        <v>44204</v>
      </c>
      <c r="C7" s="6">
        <v>96.667029999999997</v>
      </c>
      <c r="D7" s="6">
        <v>98.5</v>
      </c>
      <c r="E7" s="6">
        <v>126.2593</v>
      </c>
      <c r="F7" s="6">
        <v>259.85250000000002</v>
      </c>
      <c r="G7" s="6">
        <v>23.085989999999999</v>
      </c>
      <c r="H7" s="6">
        <v>107.0759</v>
      </c>
      <c r="I7" s="6">
        <v>17132.2</v>
      </c>
      <c r="K7" s="8">
        <f t="shared" ref="K7:Q7" si="3">LN(C7/C6)</f>
        <v>-1.9218984557908412E-2</v>
      </c>
      <c r="L7" s="8">
        <f t="shared" si="3"/>
        <v>2.7272078686389725E-2</v>
      </c>
      <c r="M7" s="8">
        <f t="shared" si="3"/>
        <v>3.1886033943052665E-2</v>
      </c>
      <c r="N7" s="8">
        <f t="shared" si="3"/>
        <v>5.5130654445368278E-2</v>
      </c>
      <c r="O7" s="8">
        <f t="shared" si="3"/>
        <v>2.6317481582645748E-2</v>
      </c>
      <c r="P7" s="8">
        <f t="shared" si="3"/>
        <v>2.4242729259380438E-2</v>
      </c>
      <c r="Q7" s="7">
        <f t="shared" si="3"/>
        <v>8.3291140120818716E-2</v>
      </c>
      <c r="R7" s="6">
        <v>6.2149999999999999</v>
      </c>
    </row>
    <row r="8" spans="1:18" ht="15.75" customHeight="1">
      <c r="A8" s="5">
        <v>44205</v>
      </c>
      <c r="C8" s="6">
        <v>118.2598</v>
      </c>
      <c r="D8" s="6">
        <v>97.1</v>
      </c>
      <c r="E8" s="6">
        <v>155.31700000000001</v>
      </c>
      <c r="F8" s="6">
        <v>382.83199999999999</v>
      </c>
      <c r="G8" s="6">
        <v>25.57019</v>
      </c>
      <c r="H8" s="6">
        <v>115.96080000000001</v>
      </c>
      <c r="I8" s="6">
        <v>17618.150000000001</v>
      </c>
      <c r="K8" s="8">
        <f t="shared" ref="K8:Q8" si="4">LN(C8/C7)</f>
        <v>0.20161150627631186</v>
      </c>
      <c r="L8" s="8">
        <f t="shared" si="4"/>
        <v>-1.4315172880764058E-2</v>
      </c>
      <c r="M8" s="8">
        <f t="shared" si="4"/>
        <v>0.20713046090547932</v>
      </c>
      <c r="N8" s="8">
        <f t="shared" si="4"/>
        <v>0.38748208830799635</v>
      </c>
      <c r="O8" s="8">
        <f t="shared" si="4"/>
        <v>0.10220127982853208</v>
      </c>
      <c r="P8" s="8">
        <f t="shared" si="4"/>
        <v>7.9714274170841315E-2</v>
      </c>
      <c r="Q8" s="7">
        <f t="shared" si="4"/>
        <v>2.7969886925890988E-2</v>
      </c>
      <c r="R8" s="6">
        <v>6.2229999999999999</v>
      </c>
    </row>
    <row r="9" spans="1:18" ht="15.75" customHeight="1">
      <c r="A9" s="5">
        <v>44206</v>
      </c>
      <c r="C9" s="6">
        <v>116.65</v>
      </c>
      <c r="D9" s="6">
        <v>100.5</v>
      </c>
      <c r="E9" s="6">
        <v>209.66569999999999</v>
      </c>
      <c r="F9" s="6">
        <v>342.3297</v>
      </c>
      <c r="G9" s="6">
        <v>26.631810000000002</v>
      </c>
      <c r="H9" s="6">
        <v>114.9933</v>
      </c>
      <c r="I9" s="6">
        <v>17671.650000000001</v>
      </c>
      <c r="K9" s="8">
        <f t="shared" ref="K9:Q9" si="5">LN(C9/C8)</f>
        <v>-1.3705900734908993E-2</v>
      </c>
      <c r="L9" s="8">
        <f t="shared" si="5"/>
        <v>3.4416352201851186E-2</v>
      </c>
      <c r="M9" s="8">
        <f t="shared" si="5"/>
        <v>0.30004616781458399</v>
      </c>
      <c r="N9" s="8">
        <f t="shared" si="5"/>
        <v>-0.11182194288439141</v>
      </c>
      <c r="O9" s="8">
        <f t="shared" si="5"/>
        <v>4.0679146114515119E-2</v>
      </c>
      <c r="P9" s="8">
        <f t="shared" si="5"/>
        <v>-8.3783371638685416E-3</v>
      </c>
      <c r="Q9" s="7">
        <f t="shared" si="5"/>
        <v>3.0320399087917201E-3</v>
      </c>
      <c r="R9" s="6">
        <v>6.3879999999999999</v>
      </c>
    </row>
    <row r="10" spans="1:18" ht="15.75" customHeight="1">
      <c r="A10" s="5">
        <v>44207</v>
      </c>
      <c r="C10" s="6">
        <v>111.9014</v>
      </c>
      <c r="D10" s="6">
        <v>99.35</v>
      </c>
      <c r="E10" s="6">
        <v>212.11170000000001</v>
      </c>
      <c r="F10" s="6">
        <v>282.09190000000001</v>
      </c>
      <c r="G10" s="6">
        <v>26.978809999999999</v>
      </c>
      <c r="H10" s="6">
        <v>128.47800000000001</v>
      </c>
      <c r="I10" s="6">
        <v>16983.2</v>
      </c>
      <c r="K10" s="8">
        <f t="shared" ref="K10:Q10" si="6">LN(C10/C9)</f>
        <v>-4.1559872057135447E-2</v>
      </c>
      <c r="L10" s="8">
        <f t="shared" si="6"/>
        <v>-1.1508758501304613E-2</v>
      </c>
      <c r="M10" s="8">
        <f t="shared" si="6"/>
        <v>1.1598665179499699E-2</v>
      </c>
      <c r="N10" s="8">
        <f t="shared" si="6"/>
        <v>-0.19354140339347337</v>
      </c>
      <c r="O10" s="8">
        <f t="shared" si="6"/>
        <v>1.294537708842331E-2</v>
      </c>
      <c r="P10" s="8">
        <f t="shared" si="6"/>
        <v>0.11088381765568019</v>
      </c>
      <c r="Q10" s="7">
        <f t="shared" si="6"/>
        <v>-3.9737040444249035E-2</v>
      </c>
      <c r="R10" s="6">
        <v>6.3259999999999996</v>
      </c>
    </row>
    <row r="11" spans="1:18" ht="15.75" customHeight="1">
      <c r="A11" s="5">
        <v>44208</v>
      </c>
      <c r="C11" s="6">
        <v>109.3951</v>
      </c>
      <c r="D11" s="6">
        <v>99.7</v>
      </c>
      <c r="E11" s="6">
        <v>216.17189999999999</v>
      </c>
      <c r="F11" s="6">
        <v>295.05259999999998</v>
      </c>
      <c r="G11" s="6">
        <v>26.848690000000001</v>
      </c>
      <c r="H11" s="6">
        <v>127.0177</v>
      </c>
      <c r="I11" s="6">
        <v>17354.05</v>
      </c>
      <c r="K11" s="8">
        <f t="shared" ref="K11:Q11" si="7">LN(C11/C10)</f>
        <v>-2.2652027187854116E-2</v>
      </c>
      <c r="L11" s="8">
        <f t="shared" si="7"/>
        <v>3.5167079699669483E-3</v>
      </c>
      <c r="M11" s="8">
        <f t="shared" si="7"/>
        <v>1.8960901801708299E-2</v>
      </c>
      <c r="N11" s="8">
        <f t="shared" si="7"/>
        <v>4.4920741156646779E-2</v>
      </c>
      <c r="O11" s="8">
        <f t="shared" si="7"/>
        <v>-4.8347128682118519E-3</v>
      </c>
      <c r="P11" s="8">
        <f t="shared" si="7"/>
        <v>-1.143123662591043E-2</v>
      </c>
      <c r="Q11" s="7">
        <f t="shared" si="7"/>
        <v>2.1601288411623641E-2</v>
      </c>
      <c r="R11" s="6">
        <v>6.4539999999999997</v>
      </c>
    </row>
    <row r="12" spans="1:18" ht="15.75" customHeight="1">
      <c r="A12" s="5">
        <v>44562</v>
      </c>
      <c r="C12" s="6">
        <v>124.9162</v>
      </c>
      <c r="D12" s="6">
        <v>106.25</v>
      </c>
      <c r="E12" s="6">
        <v>240.72909999999999</v>
      </c>
      <c r="F12" s="6">
        <v>300.8947</v>
      </c>
      <c r="G12" s="6">
        <v>26.024570000000001</v>
      </c>
      <c r="H12" s="6">
        <v>135.82560000000001</v>
      </c>
      <c r="I12" s="6">
        <v>17339.849999999999</v>
      </c>
      <c r="K12" s="8">
        <f t="shared" ref="K12:Q12" si="8">LN(C12/C11)</f>
        <v>0.13267701326128711</v>
      </c>
      <c r="L12" s="8">
        <f t="shared" si="8"/>
        <v>6.3629130836733605E-2</v>
      </c>
      <c r="M12" s="8">
        <f t="shared" si="8"/>
        <v>0.10759831035409585</v>
      </c>
      <c r="N12" s="8">
        <f t="shared" si="8"/>
        <v>1.9606724125580014E-2</v>
      </c>
      <c r="O12" s="8">
        <f t="shared" si="8"/>
        <v>-3.117593840284353E-2</v>
      </c>
      <c r="P12" s="8">
        <f t="shared" si="8"/>
        <v>6.704526305052888E-2</v>
      </c>
      <c r="Q12" s="7">
        <f t="shared" si="8"/>
        <v>-8.185877513300963E-4</v>
      </c>
      <c r="R12" s="6">
        <v>6.6840000000000002</v>
      </c>
    </row>
    <row r="13" spans="1:18" ht="15.75" customHeight="1">
      <c r="A13" s="5">
        <v>44563</v>
      </c>
      <c r="C13" s="6">
        <v>117.39749999999999</v>
      </c>
      <c r="D13" s="6">
        <v>123.75</v>
      </c>
      <c r="E13" s="6">
        <v>218.22649999999999</v>
      </c>
      <c r="F13" s="6">
        <v>334.03289999999998</v>
      </c>
      <c r="G13" s="6">
        <v>23.769110000000001</v>
      </c>
      <c r="H13" s="6">
        <v>131.8845</v>
      </c>
      <c r="I13" s="6">
        <v>16793.900000000001</v>
      </c>
      <c r="K13" s="8">
        <f t="shared" ref="K13:Q13" si="9">LN(C13/C12)</f>
        <v>-6.2077500035386056E-2</v>
      </c>
      <c r="L13" s="8">
        <f t="shared" si="9"/>
        <v>0.15246859364427354</v>
      </c>
      <c r="M13" s="8">
        <f t="shared" si="9"/>
        <v>-9.8138720626778392E-2</v>
      </c>
      <c r="N13" s="8">
        <f t="shared" si="9"/>
        <v>0.10447912146392788</v>
      </c>
      <c r="O13" s="8">
        <f t="shared" si="9"/>
        <v>-9.0654253272933707E-2</v>
      </c>
      <c r="P13" s="8">
        <f t="shared" si="9"/>
        <v>-2.9445170326336211E-2</v>
      </c>
      <c r="Q13" s="7">
        <f t="shared" si="9"/>
        <v>-3.1991595559867449E-2</v>
      </c>
      <c r="R13" s="6">
        <v>6.77</v>
      </c>
    </row>
    <row r="14" spans="1:18" ht="15.75" customHeight="1">
      <c r="A14" s="5">
        <v>44564</v>
      </c>
      <c r="C14" s="6">
        <v>122.179</v>
      </c>
      <c r="D14" s="6">
        <v>185.1</v>
      </c>
      <c r="E14" s="6">
        <v>233.48920000000001</v>
      </c>
      <c r="F14" s="6">
        <v>296.72179999999997</v>
      </c>
      <c r="G14" s="6">
        <v>25.215340000000001</v>
      </c>
      <c r="H14" s="6">
        <v>140.5068</v>
      </c>
      <c r="I14" s="6">
        <v>17464.75</v>
      </c>
      <c r="K14" s="8">
        <f t="shared" ref="K14:Q14" si="10">LN(C14/C13)</f>
        <v>3.9921570094171119E-2</v>
      </c>
      <c r="L14" s="8">
        <f t="shared" si="10"/>
        <v>0.40263281813065205</v>
      </c>
      <c r="M14" s="8">
        <f t="shared" si="10"/>
        <v>6.7602309125222179E-2</v>
      </c>
      <c r="N14" s="8">
        <f t="shared" si="10"/>
        <v>-0.11844449163152077</v>
      </c>
      <c r="O14" s="8">
        <f t="shared" si="10"/>
        <v>5.9065700957907294E-2</v>
      </c>
      <c r="P14" s="8">
        <f t="shared" si="10"/>
        <v>6.332934662872268E-2</v>
      </c>
      <c r="Q14" s="7">
        <f t="shared" si="10"/>
        <v>3.9168838577291303E-2</v>
      </c>
      <c r="R14" s="6">
        <v>6.843</v>
      </c>
    </row>
    <row r="15" spans="1:18" ht="15.75" customHeight="1">
      <c r="A15" s="5">
        <v>44565</v>
      </c>
      <c r="C15" s="6">
        <v>141.3656</v>
      </c>
      <c r="D15" s="6">
        <v>280.35000000000002</v>
      </c>
      <c r="E15" s="6">
        <v>237.10910000000001</v>
      </c>
      <c r="F15" s="6">
        <v>311.89170000000001</v>
      </c>
      <c r="G15" s="6">
        <v>30.113289999999999</v>
      </c>
      <c r="H15" s="6">
        <v>147.60339999999999</v>
      </c>
      <c r="I15" s="6">
        <v>17102.55</v>
      </c>
      <c r="K15" s="8">
        <f t="shared" ref="K15:Q15" si="11">LN(C15/C14)</f>
        <v>0.14586225985120885</v>
      </c>
      <c r="L15" s="8">
        <f t="shared" si="11"/>
        <v>0.41514260299022981</v>
      </c>
      <c r="M15" s="8">
        <f t="shared" si="11"/>
        <v>1.5384549402443697E-2</v>
      </c>
      <c r="N15" s="8">
        <f t="shared" si="11"/>
        <v>4.9861012678286937E-2</v>
      </c>
      <c r="O15" s="8">
        <f t="shared" si="11"/>
        <v>0.17751406307406245</v>
      </c>
      <c r="P15" s="8">
        <f t="shared" si="11"/>
        <v>4.9273060952278E-2</v>
      </c>
      <c r="Q15" s="7">
        <f t="shared" si="11"/>
        <v>-2.0956988615441312E-2</v>
      </c>
      <c r="R15" s="6">
        <v>7.1390000000000002</v>
      </c>
    </row>
    <row r="16" spans="1:18" ht="15.75" customHeight="1">
      <c r="A16" s="5">
        <v>44566</v>
      </c>
      <c r="C16" s="6">
        <v>141.18459999999999</v>
      </c>
      <c r="D16" s="6">
        <v>323.25</v>
      </c>
      <c r="E16" s="6">
        <v>230.06479999999999</v>
      </c>
      <c r="F16" s="6">
        <v>271.63490000000002</v>
      </c>
      <c r="G16" s="6">
        <v>30.521450000000002</v>
      </c>
      <c r="H16" s="6">
        <v>150.94110000000001</v>
      </c>
      <c r="I16" s="6">
        <v>16584.55</v>
      </c>
      <c r="K16" s="8">
        <f t="shared" ref="K16:Q16" si="12">LN(C16/C15)</f>
        <v>-1.281188438432934E-3</v>
      </c>
      <c r="L16" s="8">
        <f t="shared" si="12"/>
        <v>0.14238719508228523</v>
      </c>
      <c r="M16" s="8">
        <f t="shared" si="12"/>
        <v>-3.0159364392433909E-2</v>
      </c>
      <c r="N16" s="8">
        <f t="shared" si="12"/>
        <v>-0.13819712694610101</v>
      </c>
      <c r="O16" s="8">
        <f t="shared" si="12"/>
        <v>1.3463112568198245E-2</v>
      </c>
      <c r="P16" s="8">
        <f t="shared" si="12"/>
        <v>2.2360747362722307E-2</v>
      </c>
      <c r="Q16" s="7">
        <f t="shared" si="12"/>
        <v>-3.0756036118482731E-2</v>
      </c>
      <c r="R16" s="6">
        <v>7.415</v>
      </c>
    </row>
    <row r="17" spans="1:18" ht="15.75" customHeight="1">
      <c r="A17" s="5">
        <v>44567</v>
      </c>
      <c r="C17" s="6">
        <v>129.3287</v>
      </c>
      <c r="D17" s="6">
        <v>262.85000000000002</v>
      </c>
      <c r="E17" s="6">
        <v>197.82740000000001</v>
      </c>
      <c r="F17" s="6">
        <v>205.63149999999999</v>
      </c>
      <c r="G17" s="6">
        <v>27.891069999999999</v>
      </c>
      <c r="H17" s="6">
        <v>137.3312</v>
      </c>
      <c r="I17" s="6">
        <v>15780.25</v>
      </c>
      <c r="K17" s="8">
        <f t="shared" ref="K17:Q17" si="13">LN(C17/C16)</f>
        <v>-8.771102838412341E-2</v>
      </c>
      <c r="L17" s="8">
        <f t="shared" si="13"/>
        <v>-0.20684249038650973</v>
      </c>
      <c r="M17" s="8">
        <f t="shared" si="13"/>
        <v>-0.15096607501615758</v>
      </c>
      <c r="N17" s="8">
        <f t="shared" si="13"/>
        <v>-0.27837315325800582</v>
      </c>
      <c r="O17" s="8">
        <f t="shared" si="13"/>
        <v>-9.012314920846215E-2</v>
      </c>
      <c r="P17" s="8">
        <f t="shared" si="13"/>
        <v>-9.4494167913959343E-2</v>
      </c>
      <c r="Q17" s="7">
        <f t="shared" si="13"/>
        <v>-4.9712380948179848E-2</v>
      </c>
      <c r="R17" s="6">
        <v>7.45</v>
      </c>
    </row>
    <row r="18" spans="1:18" ht="14.5">
      <c r="A18" s="5">
        <v>44568</v>
      </c>
      <c r="C18" s="6">
        <v>138.42429999999999</v>
      </c>
      <c r="D18" s="6">
        <v>313.95</v>
      </c>
      <c r="E18" s="6">
        <v>218.839</v>
      </c>
      <c r="F18" s="6">
        <v>236.0881</v>
      </c>
      <c r="G18" s="6">
        <v>30.974959999999999</v>
      </c>
      <c r="H18" s="6">
        <v>138.65969999999999</v>
      </c>
      <c r="I18" s="6">
        <v>17158.25</v>
      </c>
      <c r="K18" s="8">
        <f t="shared" ref="K18:Q18" si="14">LN(C18/C17)</f>
        <v>6.7966380235057813E-2</v>
      </c>
      <c r="L18" s="8">
        <f t="shared" si="14"/>
        <v>0.1776502102946613</v>
      </c>
      <c r="M18" s="8">
        <f t="shared" si="14"/>
        <v>0.10094136628019953</v>
      </c>
      <c r="N18" s="8">
        <f t="shared" si="14"/>
        <v>0.13811930848707843</v>
      </c>
      <c r="O18" s="8">
        <f t="shared" si="14"/>
        <v>0.10487257024151131</v>
      </c>
      <c r="P18" s="8">
        <f t="shared" si="14"/>
        <v>9.6272033662670193E-3</v>
      </c>
      <c r="Q18" s="7">
        <f t="shared" si="14"/>
        <v>8.3719949376114669E-2</v>
      </c>
      <c r="R18" s="6">
        <v>7.32</v>
      </c>
    </row>
    <row r="19" spans="1:18" ht="14.5">
      <c r="A19" s="5">
        <v>44569</v>
      </c>
      <c r="C19" s="6">
        <v>148.4248</v>
      </c>
      <c r="D19" s="6">
        <v>413.95</v>
      </c>
      <c r="E19" s="6">
        <v>233.6814</v>
      </c>
      <c r="F19" s="6">
        <v>337.2475</v>
      </c>
      <c r="G19" s="6">
        <v>34.829830000000001</v>
      </c>
      <c r="H19" s="6">
        <v>148.80240000000001</v>
      </c>
      <c r="I19" s="6">
        <v>17759.3</v>
      </c>
      <c r="K19" s="8">
        <f t="shared" ref="K19:Q19" si="15">LN(C19/C18)</f>
        <v>6.9754826867705982E-2</v>
      </c>
      <c r="L19" s="8">
        <f t="shared" si="15"/>
        <v>0.27651145602469651</v>
      </c>
      <c r="M19" s="8">
        <f t="shared" si="15"/>
        <v>6.5622349523821621E-2</v>
      </c>
      <c r="N19" s="8">
        <f t="shared" si="15"/>
        <v>0.35661204171259764</v>
      </c>
      <c r="O19" s="8">
        <f t="shared" si="15"/>
        <v>0.11729506736578736</v>
      </c>
      <c r="P19" s="8">
        <f t="shared" si="15"/>
        <v>7.0596521354730365E-2</v>
      </c>
      <c r="Q19" s="7">
        <f t="shared" si="15"/>
        <v>3.4430214865457824E-2</v>
      </c>
      <c r="R19" s="6">
        <v>7.1879999999999997</v>
      </c>
    </row>
    <row r="20" spans="1:18" ht="14.5">
      <c r="A20" s="5">
        <v>44570</v>
      </c>
      <c r="C20" s="6">
        <v>147.2595</v>
      </c>
      <c r="D20" s="6">
        <v>373.5</v>
      </c>
      <c r="E20" s="6">
        <v>213.51349999999999</v>
      </c>
      <c r="F20" s="6">
        <v>297.00130000000001</v>
      </c>
      <c r="G20" s="6">
        <v>32.848779999999998</v>
      </c>
      <c r="H20" s="6">
        <v>138.87620000000001</v>
      </c>
      <c r="I20" s="6">
        <v>17094.349999999999</v>
      </c>
      <c r="K20" s="8">
        <f t="shared" ref="K20:Q20" si="16">LN(C20/C19)</f>
        <v>-7.8820960942856382E-3</v>
      </c>
      <c r="L20" s="8">
        <f t="shared" si="16"/>
        <v>-0.10282718901194284</v>
      </c>
      <c r="M20" s="8">
        <f t="shared" si="16"/>
        <v>-9.0258586640730568E-2</v>
      </c>
      <c r="N20" s="8">
        <f t="shared" si="16"/>
        <v>-0.12708056626444908</v>
      </c>
      <c r="O20" s="8">
        <f t="shared" si="16"/>
        <v>-5.8559597783559764E-2</v>
      </c>
      <c r="P20" s="8">
        <f t="shared" si="16"/>
        <v>-6.9036362514629593E-2</v>
      </c>
      <c r="Q20" s="7">
        <f t="shared" si="16"/>
        <v>-3.8161322818150267E-2</v>
      </c>
      <c r="R20" s="6">
        <v>7.3979999999999997</v>
      </c>
    </row>
    <row r="21" spans="1:18" ht="14.5">
      <c r="A21" s="5">
        <v>44571</v>
      </c>
      <c r="C21" s="6">
        <v>159.66560000000001</v>
      </c>
      <c r="D21" s="6">
        <v>334.9</v>
      </c>
      <c r="E21" s="6">
        <v>222.88239999999999</v>
      </c>
      <c r="F21" s="6">
        <v>333.8854</v>
      </c>
      <c r="G21" s="6">
        <v>39.197710000000001</v>
      </c>
      <c r="H21" s="6">
        <v>149.31479999999999</v>
      </c>
      <c r="I21" s="6">
        <v>18012.2</v>
      </c>
      <c r="K21" s="8">
        <f t="shared" ref="K21:Q21" si="17">LN(C21/C20)</f>
        <v>8.0885291556286917E-2</v>
      </c>
      <c r="L21" s="8">
        <f t="shared" si="17"/>
        <v>-0.10908602477271312</v>
      </c>
      <c r="M21" s="8">
        <f t="shared" si="17"/>
        <v>4.2944215580118537E-2</v>
      </c>
      <c r="N21" s="8">
        <f t="shared" si="17"/>
        <v>0.1170613044297496</v>
      </c>
      <c r="O21" s="8">
        <f t="shared" si="17"/>
        <v>0.17670372099005402</v>
      </c>
      <c r="P21" s="8">
        <f t="shared" si="17"/>
        <v>7.2473940115541091E-2</v>
      </c>
      <c r="Q21" s="7">
        <f t="shared" si="17"/>
        <v>5.2301306531627435E-2</v>
      </c>
      <c r="R21" s="6">
        <v>7.4450000000000003</v>
      </c>
    </row>
    <row r="22" spans="1:18" ht="14.5">
      <c r="A22" s="5">
        <v>44572</v>
      </c>
      <c r="C22" s="6">
        <v>158.83539999999999</v>
      </c>
      <c r="D22" s="6">
        <v>332.75</v>
      </c>
      <c r="E22" s="6">
        <v>221.69900000000001</v>
      </c>
      <c r="F22" s="6">
        <v>304.71429999999998</v>
      </c>
      <c r="G22" s="6">
        <v>38.691630000000004</v>
      </c>
      <c r="H22" s="6">
        <v>146.59880000000001</v>
      </c>
      <c r="I22" s="6">
        <v>18758.349999999999</v>
      </c>
      <c r="K22" s="8">
        <f t="shared" ref="K22:Q22" si="18">LN(C22/C21)</f>
        <v>-5.2131822519441897E-3</v>
      </c>
      <c r="L22" s="8">
        <f t="shared" si="18"/>
        <v>-6.4405225249378074E-3</v>
      </c>
      <c r="M22" s="8">
        <f t="shared" si="18"/>
        <v>-5.3236720876824349E-3</v>
      </c>
      <c r="N22" s="8">
        <f t="shared" si="18"/>
        <v>-9.1423204028885374E-2</v>
      </c>
      <c r="O22" s="8">
        <f t="shared" si="18"/>
        <v>-1.2995029148372715E-2</v>
      </c>
      <c r="P22" s="8">
        <f t="shared" si="18"/>
        <v>-1.8357225021921338E-2</v>
      </c>
      <c r="Q22" s="7">
        <f t="shared" si="18"/>
        <v>4.0589680531975814E-2</v>
      </c>
      <c r="R22" s="6">
        <v>7.28</v>
      </c>
    </row>
    <row r="23" spans="1:18" ht="14.5">
      <c r="A23" s="5">
        <v>44573</v>
      </c>
      <c r="C23" s="6">
        <v>153.5317</v>
      </c>
      <c r="D23" s="6">
        <v>299.55</v>
      </c>
      <c r="E23" s="6">
        <v>204.8349</v>
      </c>
      <c r="F23" s="6">
        <v>284.39350000000002</v>
      </c>
      <c r="G23" s="6">
        <v>36.575330000000001</v>
      </c>
      <c r="H23" s="6">
        <v>143.203</v>
      </c>
      <c r="I23" s="6">
        <v>18105.3</v>
      </c>
      <c r="K23" s="8">
        <f t="shared" ref="K23:Q23" si="19">LN(C23/C22)</f>
        <v>-3.396138551997932E-2</v>
      </c>
      <c r="L23" s="8">
        <f t="shared" si="19"/>
        <v>-0.10511010874528708</v>
      </c>
      <c r="M23" s="8">
        <f t="shared" si="19"/>
        <v>-7.911631720874189E-2</v>
      </c>
      <c r="N23" s="8">
        <f t="shared" si="19"/>
        <v>-6.9015773764072794E-2</v>
      </c>
      <c r="O23" s="8">
        <f t="shared" si="19"/>
        <v>-5.624932815240196E-2</v>
      </c>
      <c r="P23" s="8">
        <f t="shared" si="19"/>
        <v>-2.3436399852394874E-2</v>
      </c>
      <c r="Q23" s="7">
        <f t="shared" si="19"/>
        <v>-3.5434273529685763E-2</v>
      </c>
      <c r="R23" s="6">
        <v>7.327</v>
      </c>
    </row>
    <row r="24" spans="1:18" ht="14.5">
      <c r="A24" s="5">
        <v>44927</v>
      </c>
      <c r="C24" s="6">
        <v>157.86689999999999</v>
      </c>
      <c r="D24" s="6">
        <v>223.8</v>
      </c>
      <c r="E24" s="6">
        <v>209.9631</v>
      </c>
      <c r="F24" s="6">
        <v>235.6926</v>
      </c>
      <c r="G24" s="6">
        <v>40.393889999999999</v>
      </c>
      <c r="H24" s="6">
        <v>145.1798</v>
      </c>
      <c r="I24" s="6">
        <v>17662.150000000001</v>
      </c>
      <c r="K24" s="8">
        <f t="shared" ref="K24:Q24" si="20">LN(C24/C23)</f>
        <v>2.7845212577118691E-2</v>
      </c>
      <c r="L24" s="8">
        <f t="shared" si="20"/>
        <v>-0.29152855265210909</v>
      </c>
      <c r="M24" s="8">
        <f t="shared" si="20"/>
        <v>2.4727512188749121E-2</v>
      </c>
      <c r="N24" s="8">
        <f t="shared" si="20"/>
        <v>-0.18783042892723531</v>
      </c>
      <c r="O24" s="8">
        <f t="shared" si="20"/>
        <v>9.9304566483903414E-2</v>
      </c>
      <c r="P24" s="8">
        <f t="shared" si="20"/>
        <v>1.3709770227751866E-2</v>
      </c>
      <c r="Q24" s="7">
        <f t="shared" si="20"/>
        <v>-2.4780781268640174E-2</v>
      </c>
      <c r="R24" s="6">
        <v>7.343</v>
      </c>
    </row>
    <row r="25" spans="1:18" ht="14.5">
      <c r="A25" s="5">
        <v>44928</v>
      </c>
      <c r="C25" s="6">
        <v>157.26740000000001</v>
      </c>
      <c r="D25" s="6">
        <v>146.30000000000001</v>
      </c>
      <c r="E25" s="6">
        <v>199.7559</v>
      </c>
      <c r="F25" s="6">
        <v>232.03380000000001</v>
      </c>
      <c r="G25" s="6">
        <v>36.023249999999997</v>
      </c>
      <c r="H25" s="6">
        <v>148.9324</v>
      </c>
      <c r="I25" s="6">
        <v>17303.95</v>
      </c>
      <c r="K25" s="8">
        <f t="shared" ref="K25:Q25" si="21">LN(C25/C24)</f>
        <v>-3.8047316537475318E-3</v>
      </c>
      <c r="L25" s="8">
        <f t="shared" si="21"/>
        <v>-0.42509348785174617</v>
      </c>
      <c r="M25" s="8">
        <f t="shared" si="21"/>
        <v>-4.9835679860861362E-2</v>
      </c>
      <c r="N25" s="8">
        <f t="shared" si="21"/>
        <v>-1.5645362897278151E-2</v>
      </c>
      <c r="O25" s="8">
        <f t="shared" si="21"/>
        <v>-0.11451397257693423</v>
      </c>
      <c r="P25" s="8">
        <f t="shared" si="21"/>
        <v>2.5519537465740275E-2</v>
      </c>
      <c r="Q25" s="7">
        <f t="shared" si="21"/>
        <v>-2.0489132678701803E-2</v>
      </c>
      <c r="R25" s="6">
        <v>7.4569999999999999</v>
      </c>
    </row>
    <row r="26" spans="1:18" ht="14.5">
      <c r="A26" s="5">
        <v>44929</v>
      </c>
      <c r="C26" s="6">
        <v>165.73060000000001</v>
      </c>
      <c r="D26" s="6">
        <v>191.6</v>
      </c>
      <c r="E26" s="6">
        <v>187.62559999999999</v>
      </c>
      <c r="F26" s="6">
        <v>238.16470000000001</v>
      </c>
      <c r="G26" s="6">
        <v>38.298740000000002</v>
      </c>
      <c r="H26" s="6">
        <v>154.81389999999999</v>
      </c>
      <c r="I26" s="6">
        <v>17359.75</v>
      </c>
      <c r="K26" s="8">
        <f t="shared" ref="K26:Q26" si="22">LN(C26/C25)</f>
        <v>5.2416037187858713E-2</v>
      </c>
      <c r="L26" s="8">
        <f t="shared" si="22"/>
        <v>0.26975055751068144</v>
      </c>
      <c r="M26" s="8">
        <f t="shared" si="22"/>
        <v>-6.2647633314728404E-2</v>
      </c>
      <c r="N26" s="8">
        <f t="shared" si="22"/>
        <v>2.60794004352005E-2</v>
      </c>
      <c r="O26" s="8">
        <f t="shared" si="22"/>
        <v>6.1252434144274774E-2</v>
      </c>
      <c r="P26" s="8">
        <f t="shared" si="22"/>
        <v>3.8731238684839513E-2</v>
      </c>
      <c r="Q26" s="7">
        <f t="shared" si="22"/>
        <v>3.2195090655844378E-3</v>
      </c>
      <c r="R26" s="6">
        <v>7.3150000000000004</v>
      </c>
    </row>
    <row r="27" spans="1:18" ht="14.5">
      <c r="A27" s="5">
        <v>44930</v>
      </c>
      <c r="C27" s="6">
        <v>162.79650000000001</v>
      </c>
      <c r="D27" s="6">
        <v>224.85</v>
      </c>
      <c r="E27" s="6">
        <v>198.32589999999999</v>
      </c>
      <c r="F27" s="6">
        <v>257.79340000000002</v>
      </c>
      <c r="G27" s="6">
        <v>42.157200000000003</v>
      </c>
      <c r="H27" s="6">
        <v>162.7364</v>
      </c>
      <c r="I27" s="6">
        <v>18065</v>
      </c>
      <c r="K27" s="8">
        <f t="shared" ref="K27:Q27" si="23">LN(C27/C26)</f>
        <v>-1.7862623909406333E-2</v>
      </c>
      <c r="L27" s="8">
        <f t="shared" si="23"/>
        <v>0.16002364767995628</v>
      </c>
      <c r="M27" s="8">
        <f t="shared" si="23"/>
        <v>5.5463149366967744E-2</v>
      </c>
      <c r="N27" s="8">
        <f t="shared" si="23"/>
        <v>7.9196037791121582E-2</v>
      </c>
      <c r="O27" s="8">
        <f t="shared" si="23"/>
        <v>9.5988490892263162E-2</v>
      </c>
      <c r="P27" s="8">
        <f t="shared" si="23"/>
        <v>4.9907963442849153E-2</v>
      </c>
      <c r="Q27" s="7">
        <f t="shared" si="23"/>
        <v>3.9822056392752755E-2</v>
      </c>
      <c r="R27" s="6">
        <v>7.1159999999999997</v>
      </c>
    </row>
    <row r="28" spans="1:18" ht="14.5">
      <c r="A28" s="5">
        <v>44931</v>
      </c>
      <c r="C28" s="6">
        <v>164.54750000000001</v>
      </c>
      <c r="D28" s="6">
        <v>249.65</v>
      </c>
      <c r="E28" s="6">
        <v>210.60419999999999</v>
      </c>
      <c r="F28" s="6">
        <v>251.2175</v>
      </c>
      <c r="G28" s="6">
        <v>41.395040000000002</v>
      </c>
      <c r="H28" s="6">
        <v>160.4042</v>
      </c>
      <c r="I28" s="6">
        <v>18534.400000000001</v>
      </c>
      <c r="K28" s="8">
        <f t="shared" ref="K28:Q28" si="24">LN(C28/C27)</f>
        <v>1.0698327757624642E-2</v>
      </c>
      <c r="L28" s="8">
        <f t="shared" si="24"/>
        <v>0.10462642372990189</v>
      </c>
      <c r="M28" s="8">
        <f t="shared" si="24"/>
        <v>6.0068905337390337E-2</v>
      </c>
      <c r="N28" s="8">
        <f t="shared" si="24"/>
        <v>-2.5839391163493836E-2</v>
      </c>
      <c r="O28" s="8">
        <f t="shared" si="24"/>
        <v>-1.8244421474802788E-2</v>
      </c>
      <c r="P28" s="8">
        <f t="shared" si="24"/>
        <v>-1.4434834220695749E-2</v>
      </c>
      <c r="Q28" s="7">
        <f t="shared" si="24"/>
        <v>2.565210028949258E-2</v>
      </c>
      <c r="R28" s="6">
        <v>6.9889999999999999</v>
      </c>
    </row>
    <row r="29" spans="1:18" ht="14.5">
      <c r="A29" s="5">
        <v>44932</v>
      </c>
      <c r="C29" s="6">
        <v>179.02879999999999</v>
      </c>
      <c r="D29" s="6">
        <v>249.85</v>
      </c>
      <c r="E29" s="6">
        <v>218.78970000000001</v>
      </c>
      <c r="F29" s="6">
        <v>269.709</v>
      </c>
      <c r="G29" s="6">
        <v>43.776800000000001</v>
      </c>
      <c r="H29" s="6">
        <v>175.0145</v>
      </c>
      <c r="I29" s="6">
        <v>19189.05</v>
      </c>
      <c r="K29" s="8">
        <f t="shared" ref="K29:Q29" si="25">LN(C29/C28)</f>
        <v>8.4347404430011527E-2</v>
      </c>
      <c r="L29" s="8">
        <f t="shared" si="25"/>
        <v>8.0080084359563264E-4</v>
      </c>
      <c r="M29" s="8">
        <f t="shared" si="25"/>
        <v>3.8130451964510793E-2</v>
      </c>
      <c r="N29" s="8">
        <f t="shared" si="25"/>
        <v>7.1024502227869254E-2</v>
      </c>
      <c r="O29" s="8">
        <f t="shared" si="25"/>
        <v>5.5942929796323281E-2</v>
      </c>
      <c r="P29" s="8">
        <f t="shared" si="25"/>
        <v>8.7171948005649313E-2</v>
      </c>
      <c r="Q29" s="7">
        <f t="shared" si="25"/>
        <v>3.4711338954606825E-2</v>
      </c>
      <c r="R29" s="6">
        <v>7.11</v>
      </c>
    </row>
    <row r="30" spans="1:18" ht="14.5">
      <c r="A30" s="5">
        <v>44933</v>
      </c>
      <c r="C30" s="6">
        <v>206.66640000000001</v>
      </c>
      <c r="D30" s="6">
        <v>273.3</v>
      </c>
      <c r="E30" s="6">
        <v>235.6088</v>
      </c>
      <c r="F30" s="6">
        <v>287.75189999999998</v>
      </c>
      <c r="G30" s="6">
        <v>49.064309999999999</v>
      </c>
      <c r="H30" s="6">
        <v>182.49109999999999</v>
      </c>
      <c r="I30" s="6">
        <v>19753.8</v>
      </c>
      <c r="K30" s="8">
        <f t="shared" ref="K30:Q30" si="26">LN(C30/C29)</f>
        <v>0.14355921229413893</v>
      </c>
      <c r="L30" s="8">
        <f t="shared" si="26"/>
        <v>8.9709355143808414E-2</v>
      </c>
      <c r="M30" s="8">
        <f t="shared" si="26"/>
        <v>7.4061808037538229E-2</v>
      </c>
      <c r="N30" s="8">
        <f t="shared" si="26"/>
        <v>6.4755050533672698E-2</v>
      </c>
      <c r="O30" s="8">
        <f t="shared" si="26"/>
        <v>0.11402788989498619</v>
      </c>
      <c r="P30" s="8">
        <f t="shared" si="26"/>
        <v>4.1832577076195983E-2</v>
      </c>
      <c r="Q30" s="7">
        <f t="shared" si="26"/>
        <v>2.9006074059238815E-2</v>
      </c>
      <c r="R30" s="6">
        <v>7.1719999999999997</v>
      </c>
    </row>
    <row r="31" spans="1:18" ht="14.5">
      <c r="A31" s="5">
        <v>44934</v>
      </c>
      <c r="C31" s="6">
        <v>208.512</v>
      </c>
      <c r="D31" s="6">
        <v>321.3</v>
      </c>
      <c r="E31" s="6">
        <v>243.9701</v>
      </c>
      <c r="F31" s="6">
        <v>349.79750000000001</v>
      </c>
      <c r="G31" s="6">
        <v>47.825800000000001</v>
      </c>
      <c r="H31" s="6">
        <v>167.74369999999999</v>
      </c>
      <c r="I31" s="6">
        <v>19253.8</v>
      </c>
      <c r="K31" s="8">
        <f t="shared" ref="K31:Q31" si="27">LN(C31/C30)</f>
        <v>8.8906944919107458E-3</v>
      </c>
      <c r="L31" s="8">
        <f t="shared" si="27"/>
        <v>0.1618051731877905</v>
      </c>
      <c r="M31" s="8">
        <f t="shared" si="27"/>
        <v>3.4872874277827801E-2</v>
      </c>
      <c r="N31" s="8">
        <f t="shared" si="27"/>
        <v>0.19525576508370734</v>
      </c>
      <c r="O31" s="8">
        <f t="shared" si="27"/>
        <v>-2.5566643742577437E-2</v>
      </c>
      <c r="P31" s="8">
        <f t="shared" si="27"/>
        <v>-8.4264185450288756E-2</v>
      </c>
      <c r="Q31" s="7">
        <f t="shared" si="27"/>
        <v>-2.5637434053074906E-2</v>
      </c>
      <c r="R31" s="6">
        <v>7.1660000000000004</v>
      </c>
    </row>
    <row r="32" spans="1:18" ht="14.5">
      <c r="A32" s="5">
        <v>44935</v>
      </c>
      <c r="C32" s="6">
        <v>235.66290000000001</v>
      </c>
      <c r="D32" s="6">
        <v>377.45</v>
      </c>
      <c r="E32" s="6">
        <v>261.0908</v>
      </c>
      <c r="F32" s="6">
        <v>435.96350000000001</v>
      </c>
      <c r="G32" s="6">
        <v>50.758749999999999</v>
      </c>
      <c r="H32" s="6">
        <v>186.25360000000001</v>
      </c>
      <c r="I32" s="6">
        <v>19638.3</v>
      </c>
      <c r="K32" s="8">
        <f t="shared" ref="K32:Q32" si="28">LN(C32/C31)</f>
        <v>0.12240580053433388</v>
      </c>
      <c r="L32" s="8">
        <f t="shared" si="28"/>
        <v>0.16106284346382099</v>
      </c>
      <c r="M32" s="8">
        <f t="shared" si="28"/>
        <v>6.7822562741523457E-2</v>
      </c>
      <c r="N32" s="8">
        <f t="shared" si="28"/>
        <v>0.22020410863050494</v>
      </c>
      <c r="O32" s="8">
        <f t="shared" si="28"/>
        <v>5.9518774014138215E-2</v>
      </c>
      <c r="P32" s="8">
        <f t="shared" si="28"/>
        <v>0.1046719666721144</v>
      </c>
      <c r="Q32" s="7">
        <f t="shared" si="28"/>
        <v>1.9773297285282689E-2</v>
      </c>
      <c r="R32" s="6">
        <v>7.21</v>
      </c>
    </row>
    <row r="33" spans="1:18" ht="14.5">
      <c r="A33" s="5">
        <v>44936</v>
      </c>
      <c r="C33" s="6">
        <v>226.30549999999999</v>
      </c>
      <c r="D33" s="6">
        <v>363.05</v>
      </c>
      <c r="E33" s="6">
        <v>238.2466</v>
      </c>
      <c r="F33" s="6">
        <v>384.53300000000002</v>
      </c>
      <c r="G33" s="6">
        <v>48.259270000000001</v>
      </c>
      <c r="H33" s="6">
        <v>188.4914</v>
      </c>
      <c r="I33" s="6">
        <v>19079.599999999999</v>
      </c>
      <c r="K33" s="8">
        <f t="shared" ref="K33:Q33" si="29">LN(C33/C32)</f>
        <v>-4.0516537708494546E-2</v>
      </c>
      <c r="L33" s="8">
        <f t="shared" si="29"/>
        <v>-3.889754375937806E-2</v>
      </c>
      <c r="M33" s="8">
        <f t="shared" si="29"/>
        <v>-9.1561967833904606E-2</v>
      </c>
      <c r="N33" s="8">
        <f t="shared" si="29"/>
        <v>-0.1255289132377537</v>
      </c>
      <c r="O33" s="8">
        <f t="shared" si="29"/>
        <v>-5.049608316964356E-2</v>
      </c>
      <c r="P33" s="8">
        <f t="shared" si="29"/>
        <v>1.1943196573184706E-2</v>
      </c>
      <c r="Q33" s="7">
        <f t="shared" si="29"/>
        <v>-2.8862039695351373E-2</v>
      </c>
      <c r="R33" s="6">
        <v>7.351</v>
      </c>
    </row>
    <row r="34" spans="1:18" ht="14.5">
      <c r="A34" s="5">
        <v>44937</v>
      </c>
      <c r="C34" s="6">
        <v>250.77869999999999</v>
      </c>
      <c r="D34" s="6">
        <v>431.5</v>
      </c>
      <c r="E34" s="6">
        <v>266.66500000000002</v>
      </c>
      <c r="F34" s="6">
        <v>407.00889999999998</v>
      </c>
      <c r="G34" s="6">
        <v>52.296889999999998</v>
      </c>
      <c r="H34" s="6">
        <v>194.83189999999999</v>
      </c>
      <c r="I34" s="6">
        <v>20133.150000000001</v>
      </c>
      <c r="K34" s="8">
        <f t="shared" ref="K34:Q34" si="30">LN(C34/C33)</f>
        <v>0.10268502055712977</v>
      </c>
      <c r="L34" s="8">
        <f t="shared" si="30"/>
        <v>0.17272694469722694</v>
      </c>
      <c r="M34" s="8">
        <f t="shared" si="30"/>
        <v>0.11268691727183205</v>
      </c>
      <c r="N34" s="8">
        <f t="shared" si="30"/>
        <v>5.6805441514771668E-2</v>
      </c>
      <c r="O34" s="8">
        <f t="shared" si="30"/>
        <v>8.0348970991828264E-2</v>
      </c>
      <c r="P34" s="8">
        <f t="shared" si="30"/>
        <v>3.308475299669747E-2</v>
      </c>
      <c r="Q34" s="7">
        <f t="shared" si="30"/>
        <v>5.3748008831137117E-2</v>
      </c>
      <c r="R34" s="6">
        <v>7.2789999999999999</v>
      </c>
    </row>
    <row r="35" spans="1:18" ht="14.5">
      <c r="A35" s="5">
        <v>44938</v>
      </c>
      <c r="C35" s="6">
        <v>301.5052</v>
      </c>
      <c r="D35" s="6">
        <v>525.15</v>
      </c>
      <c r="E35" s="6">
        <v>330.61880000000002</v>
      </c>
      <c r="F35" s="6">
        <v>407.70659999999998</v>
      </c>
      <c r="G35" s="6">
        <v>62.102559999999997</v>
      </c>
      <c r="H35" s="6">
        <v>225.46469999999999</v>
      </c>
      <c r="I35" s="6">
        <v>21731.4</v>
      </c>
      <c r="K35" s="8">
        <f t="shared" ref="K35:Q35" si="31">LN(C35/C34)</f>
        <v>0.18421638619386055</v>
      </c>
      <c r="L35" s="8">
        <f t="shared" si="31"/>
        <v>0.19641642554530178</v>
      </c>
      <c r="M35" s="8">
        <f t="shared" si="31"/>
        <v>0.21497286109350081</v>
      </c>
      <c r="N35" s="8">
        <f t="shared" si="31"/>
        <v>1.712745542605833E-3</v>
      </c>
      <c r="O35" s="8">
        <f t="shared" si="31"/>
        <v>0.17185030724664735</v>
      </c>
      <c r="P35" s="8">
        <f t="shared" si="31"/>
        <v>0.14602647016714163</v>
      </c>
      <c r="Q35" s="7">
        <f t="shared" si="31"/>
        <v>7.6390508981434194E-2</v>
      </c>
      <c r="R35" s="6">
        <v>7.1760000000000002</v>
      </c>
    </row>
    <row r="36" spans="1:18" ht="14.5">
      <c r="A36" s="5">
        <v>45292</v>
      </c>
      <c r="C36" s="6">
        <v>307.65839999999997</v>
      </c>
      <c r="D36" s="6">
        <v>562.70000000000005</v>
      </c>
      <c r="E36" s="6">
        <v>387.95330000000001</v>
      </c>
      <c r="F36" s="6">
        <v>503.09230000000002</v>
      </c>
      <c r="G36" s="6">
        <v>87.433859999999996</v>
      </c>
      <c r="H36" s="6">
        <v>246.47130000000001</v>
      </c>
      <c r="I36" s="6">
        <v>21725.7</v>
      </c>
      <c r="K36" s="8">
        <f t="shared" ref="K36:Q36" si="32">LN(C36/C35)</f>
        <v>2.0202813451669938E-2</v>
      </c>
      <c r="L36" s="8">
        <f t="shared" si="32"/>
        <v>6.9062690370449098E-2</v>
      </c>
      <c r="M36" s="8">
        <f t="shared" si="32"/>
        <v>0.15991892148079867</v>
      </c>
      <c r="N36" s="8">
        <f t="shared" si="32"/>
        <v>0.21022585420383857</v>
      </c>
      <c r="O36" s="8">
        <f t="shared" si="32"/>
        <v>0.34209540990135073</v>
      </c>
      <c r="P36" s="8">
        <f t="shared" si="32"/>
        <v>8.9081951015006808E-2</v>
      </c>
      <c r="Q36" s="7">
        <f t="shared" si="32"/>
        <v>-2.6232767638379318E-4</v>
      </c>
      <c r="R36" s="6">
        <v>7.1440000000000001</v>
      </c>
    </row>
    <row r="37" spans="1:18" ht="14.5">
      <c r="A37" s="5">
        <v>45293</v>
      </c>
      <c r="C37" s="6">
        <v>325.19740000000002</v>
      </c>
      <c r="D37" s="6">
        <v>549.95000000000005</v>
      </c>
      <c r="E37" s="6">
        <v>370.03629999999998</v>
      </c>
      <c r="F37" s="6">
        <v>506.63069999999999</v>
      </c>
      <c r="G37" s="6">
        <v>84.74212</v>
      </c>
      <c r="H37" s="6">
        <v>268.8562</v>
      </c>
      <c r="I37" s="6">
        <v>21982.799999999999</v>
      </c>
      <c r="K37" s="8">
        <f t="shared" ref="K37:Q37" si="33">LN(C37/C36)</f>
        <v>5.5442305993719312E-2</v>
      </c>
      <c r="L37" s="8">
        <f t="shared" si="33"/>
        <v>-2.2919261436107622E-2</v>
      </c>
      <c r="M37" s="8">
        <f t="shared" si="33"/>
        <v>-4.7283862620493389E-2</v>
      </c>
      <c r="N37" s="8">
        <f t="shared" si="33"/>
        <v>7.0086835386018584E-3</v>
      </c>
      <c r="O37" s="8">
        <f t="shared" si="33"/>
        <v>-3.1269859236953697E-2</v>
      </c>
      <c r="P37" s="8">
        <f t="shared" si="33"/>
        <v>8.6931107492357371E-2</v>
      </c>
      <c r="Q37" s="7">
        <f t="shared" si="33"/>
        <v>1.176443782129105E-2</v>
      </c>
      <c r="R37" s="6">
        <v>7.0780000000000003</v>
      </c>
    </row>
    <row r="38" spans="1:18" ht="14.5">
      <c r="A38" s="5">
        <v>45294</v>
      </c>
      <c r="C38" s="6">
        <v>328.56830000000002</v>
      </c>
      <c r="D38" s="6">
        <v>533.79999999999995</v>
      </c>
      <c r="E38" s="6">
        <v>392.38279999999997</v>
      </c>
      <c r="F38" s="6">
        <v>527.16309999999999</v>
      </c>
      <c r="G38" s="6">
        <v>87.555210000000002</v>
      </c>
      <c r="H38" s="6">
        <v>267.60109999999997</v>
      </c>
      <c r="I38" s="6">
        <v>22326.9</v>
      </c>
      <c r="K38" s="8">
        <f t="shared" ref="K38:Q38" si="34">LN(C38/C37)</f>
        <v>1.0312348515721359E-2</v>
      </c>
      <c r="L38" s="8">
        <f t="shared" si="34"/>
        <v>-2.9806128032702047E-2</v>
      </c>
      <c r="M38" s="8">
        <f t="shared" si="34"/>
        <v>5.8636784972779729E-2</v>
      </c>
      <c r="N38" s="8">
        <f t="shared" si="34"/>
        <v>3.9727652515545712E-2</v>
      </c>
      <c r="O38" s="8">
        <f t="shared" si="34"/>
        <v>3.2656803226684614E-2</v>
      </c>
      <c r="P38" s="8">
        <f t="shared" si="34"/>
        <v>-4.6792253178374685E-3</v>
      </c>
      <c r="Q38" s="7">
        <f t="shared" si="34"/>
        <v>1.5531900126922026E-2</v>
      </c>
      <c r="R38" s="6">
        <v>7.0519999999999996</v>
      </c>
    </row>
    <row r="39" spans="1:18" ht="14.5">
      <c r="A39" s="5">
        <v>45295</v>
      </c>
      <c r="C39" s="6">
        <v>355.37819999999999</v>
      </c>
      <c r="D39" s="6">
        <v>612.45000000000005</v>
      </c>
      <c r="E39" s="6">
        <v>447.17899999999997</v>
      </c>
      <c r="F39" s="6">
        <v>627.48249999999996</v>
      </c>
      <c r="G39" s="6">
        <v>93.899780000000007</v>
      </c>
      <c r="H39" s="6">
        <v>291.71319999999997</v>
      </c>
      <c r="I39" s="6">
        <v>22604.85</v>
      </c>
      <c r="K39" s="8">
        <f t="shared" ref="K39:Q39" si="35">LN(C39/C38)</f>
        <v>7.8437843425792159E-2</v>
      </c>
      <c r="L39" s="8">
        <f t="shared" si="35"/>
        <v>0.1374460694632709</v>
      </c>
      <c r="M39" s="8">
        <f t="shared" si="35"/>
        <v>0.13072106797631702</v>
      </c>
      <c r="N39" s="8">
        <f t="shared" si="35"/>
        <v>0.17420579384486609</v>
      </c>
      <c r="O39" s="8">
        <f t="shared" si="35"/>
        <v>6.9958477480110845E-2</v>
      </c>
      <c r="P39" s="8">
        <f t="shared" si="35"/>
        <v>8.6273688962559658E-2</v>
      </c>
      <c r="Q39" s="7">
        <f t="shared" si="35"/>
        <v>1.2372255500286942E-2</v>
      </c>
      <c r="R39" s="6">
        <v>7.1950000000000003</v>
      </c>
    </row>
    <row r="40" spans="1:18" ht="14.5">
      <c r="A40" s="5">
        <v>45296</v>
      </c>
      <c r="C40" s="6">
        <v>351.26859999999999</v>
      </c>
      <c r="D40" s="6">
        <v>755.8</v>
      </c>
      <c r="E40" s="6">
        <v>434.73660000000001</v>
      </c>
      <c r="F40" s="6">
        <v>610.98689999999999</v>
      </c>
      <c r="G40" s="6">
        <v>104.68559999999999</v>
      </c>
      <c r="H40" s="6">
        <v>299.58949999999999</v>
      </c>
      <c r="I40" s="6">
        <v>22530.7</v>
      </c>
      <c r="K40" s="8">
        <f t="shared" ref="K40:Q40" si="36">LN(C40/C39)</f>
        <v>-1.1631401520646744E-2</v>
      </c>
      <c r="L40" s="8">
        <f t="shared" si="36"/>
        <v>0.21030948448169406</v>
      </c>
      <c r="M40" s="8">
        <f t="shared" si="36"/>
        <v>-2.8218631435487522E-2</v>
      </c>
      <c r="N40" s="8">
        <f t="shared" si="36"/>
        <v>-2.6640263490950031E-2</v>
      </c>
      <c r="O40" s="8">
        <f t="shared" si="36"/>
        <v>0.10873352930747963</v>
      </c>
      <c r="P40" s="8">
        <f t="shared" si="36"/>
        <v>2.6642076478902113E-2</v>
      </c>
      <c r="Q40" s="7">
        <f t="shared" si="36"/>
        <v>-3.2856613781206767E-3</v>
      </c>
      <c r="R40" s="6">
        <v>6.9859999999999998</v>
      </c>
    </row>
    <row r="41" spans="1:18" ht="14.5">
      <c r="A41" s="5">
        <v>45297</v>
      </c>
      <c r="C41" s="6">
        <v>370.202</v>
      </c>
      <c r="D41" s="6">
        <v>718.6</v>
      </c>
      <c r="E41" s="6">
        <v>438.56889999999999</v>
      </c>
      <c r="F41" s="6">
        <v>734.5</v>
      </c>
      <c r="G41" s="6">
        <v>98.292180000000002</v>
      </c>
      <c r="H41" s="6">
        <v>319.83589999999998</v>
      </c>
      <c r="I41" s="6">
        <v>24010.6</v>
      </c>
      <c r="K41" s="8">
        <f t="shared" ref="K41:Q41" si="37">LN(C41/C40)</f>
        <v>5.2497629627336291E-2</v>
      </c>
      <c r="L41" s="8">
        <f t="shared" si="37"/>
        <v>-5.047191623597018E-2</v>
      </c>
      <c r="M41" s="8">
        <f t="shared" si="37"/>
        <v>8.7765955892944725E-3</v>
      </c>
      <c r="N41" s="8">
        <f t="shared" si="37"/>
        <v>0.18411447693404828</v>
      </c>
      <c r="O41" s="8">
        <f t="shared" si="37"/>
        <v>-6.3017101002933715E-2</v>
      </c>
      <c r="P41" s="8">
        <f t="shared" si="37"/>
        <v>6.5394847460530814E-2</v>
      </c>
      <c r="Q41" s="7">
        <f t="shared" si="37"/>
        <v>6.3616575862233918E-2</v>
      </c>
      <c r="R41" s="6">
        <v>7.008</v>
      </c>
    </row>
    <row r="42" spans="1:18" ht="14.5">
      <c r="A42" s="5">
        <v>45298</v>
      </c>
      <c r="C42" s="6">
        <v>407.0412</v>
      </c>
      <c r="D42" s="6">
        <v>734.45</v>
      </c>
      <c r="E42" s="6">
        <v>451.50900000000001</v>
      </c>
      <c r="F42" s="6">
        <v>728</v>
      </c>
      <c r="G42" s="6">
        <v>102.5284</v>
      </c>
      <c r="H42" s="6">
        <v>336.50670000000002</v>
      </c>
      <c r="I42" s="6">
        <v>24951.15</v>
      </c>
      <c r="K42" s="8">
        <f t="shared" ref="K42:Q42" si="38">LN(C42/C41)</f>
        <v>9.4865606210617529E-2</v>
      </c>
      <c r="L42" s="8">
        <f t="shared" si="38"/>
        <v>2.1817045098005593E-2</v>
      </c>
      <c r="M42" s="8">
        <f t="shared" si="38"/>
        <v>2.9078380176190327E-2</v>
      </c>
      <c r="N42" s="8">
        <f t="shared" si="38"/>
        <v>-8.8889474172460393E-3</v>
      </c>
      <c r="O42" s="8">
        <f t="shared" si="38"/>
        <v>4.2195361773491723E-2</v>
      </c>
      <c r="P42" s="8">
        <f t="shared" si="38"/>
        <v>5.0810007973046099E-2</v>
      </c>
      <c r="Q42" s="7">
        <f t="shared" si="38"/>
        <v>3.8424513811085394E-2</v>
      </c>
      <c r="R42" s="6">
        <v>6.9240000000000004</v>
      </c>
    </row>
    <row r="43" spans="1:18" ht="14.5">
      <c r="A43" s="5">
        <v>45299</v>
      </c>
      <c r="C43" s="6">
        <v>407.23680000000002</v>
      </c>
      <c r="D43" s="6">
        <v>632.04999999999995</v>
      </c>
      <c r="E43" s="6">
        <v>434.65</v>
      </c>
      <c r="F43" s="6">
        <v>711.15</v>
      </c>
      <c r="G43" s="6">
        <v>93.821700000000007</v>
      </c>
      <c r="H43" s="6">
        <v>326.06939999999997</v>
      </c>
      <c r="I43" s="6">
        <v>25235.9</v>
      </c>
      <c r="K43" s="8">
        <f t="shared" ref="K43:Q43" si="39">LN(C43/C42)</f>
        <v>4.8042561327257534E-4</v>
      </c>
      <c r="L43" s="8">
        <f t="shared" si="39"/>
        <v>-0.15015341483585737</v>
      </c>
      <c r="M43" s="8">
        <f t="shared" si="39"/>
        <v>-3.8054196688113495E-2</v>
      </c>
      <c r="N43" s="8">
        <f t="shared" si="39"/>
        <v>-2.341767018044897E-2</v>
      </c>
      <c r="O43" s="8">
        <f t="shared" si="39"/>
        <v>-8.8743660831482274E-2</v>
      </c>
      <c r="P43" s="8">
        <f t="shared" si="39"/>
        <v>-3.1507817587690952E-2</v>
      </c>
      <c r="Q43" s="7">
        <f t="shared" si="39"/>
        <v>1.1347670587906642E-2</v>
      </c>
      <c r="R43" s="6">
        <v>6.8630000000000004</v>
      </c>
    </row>
    <row r="44" spans="1:18" ht="14.5">
      <c r="A44" s="5">
        <v>45300</v>
      </c>
      <c r="C44" s="6">
        <v>437.07830000000001</v>
      </c>
      <c r="D44" s="6">
        <v>656.15</v>
      </c>
      <c r="E44" s="6">
        <v>482.6</v>
      </c>
      <c r="F44" s="6">
        <v>733.05</v>
      </c>
      <c r="G44" s="6">
        <v>93.15607</v>
      </c>
      <c r="H44" s="6">
        <v>343.83569999999997</v>
      </c>
      <c r="I44" s="6">
        <v>25810.85</v>
      </c>
      <c r="K44" s="8">
        <f t="shared" ref="K44:Q44" si="40">LN(C44/C43)</f>
        <v>7.0717520812987683E-2</v>
      </c>
      <c r="L44" s="8">
        <f t="shared" si="40"/>
        <v>3.7420916400729157E-2</v>
      </c>
      <c r="M44" s="8">
        <f t="shared" si="40"/>
        <v>0.10464704366585811</v>
      </c>
      <c r="N44" s="8">
        <f t="shared" si="40"/>
        <v>3.0330534368036382E-2</v>
      </c>
      <c r="O44" s="8">
        <f t="shared" si="40"/>
        <v>-7.1199139010562091E-3</v>
      </c>
      <c r="P44" s="8">
        <f t="shared" si="40"/>
        <v>5.3053684853515824E-2</v>
      </c>
      <c r="Q44" s="7">
        <f t="shared" si="40"/>
        <v>2.2527362252369305E-2</v>
      </c>
      <c r="R44" s="6">
        <v>6.75</v>
      </c>
    </row>
    <row r="45" spans="1:18" ht="14.5">
      <c r="A45" s="5">
        <v>45301</v>
      </c>
      <c r="C45" s="6">
        <v>402.51240000000001</v>
      </c>
      <c r="D45" s="6">
        <v>592.70000000000005</v>
      </c>
      <c r="E45" s="6">
        <v>440.05</v>
      </c>
      <c r="F45" s="6">
        <v>679.15</v>
      </c>
      <c r="G45" s="6">
        <v>81.039410000000004</v>
      </c>
      <c r="H45" s="6">
        <v>312.60449999999997</v>
      </c>
      <c r="I45" s="6">
        <v>24205.35</v>
      </c>
      <c r="K45" s="8">
        <f t="shared" ref="K45:Q45" si="41">LN(C45/C44)</f>
        <v>-8.2386451409330388E-2</v>
      </c>
      <c r="L45" s="8">
        <f t="shared" si="41"/>
        <v>-0.10170105254850306</v>
      </c>
      <c r="M45" s="8">
        <f t="shared" si="41"/>
        <v>-9.2299796371110701E-2</v>
      </c>
      <c r="N45" s="8">
        <f t="shared" si="41"/>
        <v>-7.6371896115773732E-2</v>
      </c>
      <c r="O45" s="8">
        <f t="shared" si="41"/>
        <v>-0.13934067908042788</v>
      </c>
      <c r="P45" s="8">
        <f t="shared" si="41"/>
        <v>-9.5225113722105417E-2</v>
      </c>
      <c r="Q45" s="7">
        <f t="shared" si="41"/>
        <v>-6.4221263050494262E-2</v>
      </c>
      <c r="R45" s="6">
        <v>6.8410000000000002</v>
      </c>
    </row>
    <row r="46" spans="1:18" ht="14.5">
      <c r="A46" s="5">
        <v>45302</v>
      </c>
      <c r="C46" s="6">
        <v>360.83539999999999</v>
      </c>
      <c r="D46" s="6">
        <v>554.79999999999995</v>
      </c>
      <c r="E46" s="6">
        <v>414.15</v>
      </c>
      <c r="F46" s="6">
        <v>654.65</v>
      </c>
      <c r="G46" s="6">
        <v>79.901330000000002</v>
      </c>
      <c r="H46" s="6">
        <v>320.98480000000001</v>
      </c>
      <c r="I46" s="6">
        <v>24131.1</v>
      </c>
      <c r="K46" s="8">
        <f t="shared" ref="K46:Q46" si="42">LN(C46/C45)</f>
        <v>-0.10930400516268213</v>
      </c>
      <c r="L46" s="8">
        <f t="shared" si="42"/>
        <v>-6.6080680353116164E-2</v>
      </c>
      <c r="M46" s="8">
        <f t="shared" si="42"/>
        <v>-6.0660129775547716E-2</v>
      </c>
      <c r="N46" s="8">
        <f t="shared" si="42"/>
        <v>-3.6741274594737437E-2</v>
      </c>
      <c r="O46" s="8">
        <f t="shared" si="42"/>
        <v>-1.4143081117597845E-2</v>
      </c>
      <c r="P46" s="8">
        <f t="shared" si="42"/>
        <v>2.6454956706713727E-2</v>
      </c>
      <c r="Q46" s="7">
        <f t="shared" si="42"/>
        <v>-3.0722181045922284E-3</v>
      </c>
      <c r="R46" s="6">
        <v>6.7510000000000003</v>
      </c>
    </row>
    <row r="47" spans="1:18" ht="14.5">
      <c r="A47" s="5">
        <v>45303</v>
      </c>
      <c r="C47" s="6">
        <v>330.76990000000001</v>
      </c>
      <c r="D47" s="6">
        <v>529.45000000000005</v>
      </c>
      <c r="E47" s="6">
        <v>392.4</v>
      </c>
      <c r="F47" s="6">
        <v>642.65</v>
      </c>
      <c r="G47" s="6">
        <v>79.165499999999994</v>
      </c>
      <c r="H47" s="6">
        <v>305.13150000000002</v>
      </c>
      <c r="I47" s="6">
        <v>23644.799999999999</v>
      </c>
      <c r="K47" s="8">
        <f t="shared" ref="K47:Q47" si="43">LN(C47/C46)</f>
        <v>-8.6998931200927943E-2</v>
      </c>
      <c r="L47" s="8">
        <f t="shared" si="43"/>
        <v>-4.6768956564212961E-2</v>
      </c>
      <c r="M47" s="8">
        <f t="shared" si="43"/>
        <v>-5.3946499353065058E-2</v>
      </c>
      <c r="N47" s="8">
        <f t="shared" si="43"/>
        <v>-1.8500489117621453E-2</v>
      </c>
      <c r="O47" s="8">
        <f t="shared" si="43"/>
        <v>-9.2519005850556241E-3</v>
      </c>
      <c r="P47" s="8">
        <f t="shared" si="43"/>
        <v>-5.0650938752950576E-2</v>
      </c>
      <c r="Q47" s="7">
        <f t="shared" si="43"/>
        <v>-2.0358247392682546E-2</v>
      </c>
      <c r="R47" s="6">
        <v>6.76</v>
      </c>
    </row>
    <row r="48" spans="1:18" ht="14.5">
      <c r="A48" s="5">
        <v>45658</v>
      </c>
      <c r="C48" s="6">
        <v>321.49220000000003</v>
      </c>
      <c r="D48" s="6">
        <v>513.20000000000005</v>
      </c>
      <c r="E48" s="6">
        <v>364.5</v>
      </c>
      <c r="F48" s="6">
        <v>508.6</v>
      </c>
      <c r="G48" s="6">
        <v>79.028139999999993</v>
      </c>
      <c r="H48" s="6">
        <v>298.16300000000001</v>
      </c>
      <c r="I48" s="6">
        <v>23508.400000000001</v>
      </c>
      <c r="K48" s="8">
        <f t="shared" ref="K48:Q48" si="44">LN(C48/C47)</f>
        <v>-2.8449685365791736E-2</v>
      </c>
      <c r="L48" s="8">
        <f t="shared" si="44"/>
        <v>-3.1173099134982087E-2</v>
      </c>
      <c r="M48" s="8">
        <f t="shared" si="44"/>
        <v>-7.3755176242495141E-2</v>
      </c>
      <c r="N48" s="8">
        <f t="shared" si="44"/>
        <v>-0.23393839956812154</v>
      </c>
      <c r="O48" s="8">
        <f t="shared" si="44"/>
        <v>-1.7366062822863826E-3</v>
      </c>
      <c r="P48" s="8">
        <f t="shared" si="44"/>
        <v>-2.3102514398783802E-2</v>
      </c>
      <c r="Q48" s="7">
        <f t="shared" si="44"/>
        <v>-5.7854135224584859E-3</v>
      </c>
      <c r="R48" s="6">
        <v>6.69</v>
      </c>
    </row>
    <row r="49" spans="1:18" ht="14.5">
      <c r="A49" s="5">
        <v>45659</v>
      </c>
      <c r="C49" s="6">
        <v>311.45</v>
      </c>
      <c r="D49" s="6">
        <v>478.95</v>
      </c>
      <c r="E49" s="6">
        <v>339.2</v>
      </c>
      <c r="F49" s="6">
        <v>464.1</v>
      </c>
      <c r="G49" s="6">
        <v>71.522670000000005</v>
      </c>
      <c r="H49" s="6">
        <v>247.9503</v>
      </c>
      <c r="I49" s="6">
        <v>22124.7</v>
      </c>
      <c r="K49" s="8">
        <f t="shared" ref="K49:Q49" si="45">LN(C49/C48)</f>
        <v>-3.1734470407938017E-2</v>
      </c>
      <c r="L49" s="8">
        <f t="shared" si="45"/>
        <v>-6.9069424912580737E-2</v>
      </c>
      <c r="M49" s="8">
        <f t="shared" si="45"/>
        <v>-7.1936647530964848E-2</v>
      </c>
      <c r="N49" s="8">
        <f t="shared" si="45"/>
        <v>-9.156180674088911E-2</v>
      </c>
      <c r="O49" s="8">
        <f t="shared" si="45"/>
        <v>-9.9789529190412105E-2</v>
      </c>
      <c r="P49" s="8">
        <f t="shared" si="45"/>
        <v>-0.18441199397645089</v>
      </c>
      <c r="Q49" s="7">
        <f t="shared" si="45"/>
        <v>-6.0663172609701985E-2</v>
      </c>
      <c r="R49" s="6">
        <v>6.72</v>
      </c>
    </row>
    <row r="50" spans="1:18" ht="14.5">
      <c r="A50" s="5">
        <v>45660</v>
      </c>
      <c r="C50" s="6">
        <v>357.6</v>
      </c>
      <c r="D50" s="6">
        <v>509.3</v>
      </c>
      <c r="E50" s="6">
        <v>375.4</v>
      </c>
      <c r="F50" s="6">
        <v>537.9</v>
      </c>
      <c r="G50" s="6">
        <v>82.2</v>
      </c>
      <c r="H50" s="6">
        <v>290.35000000000002</v>
      </c>
      <c r="I50" s="6">
        <v>23519.35</v>
      </c>
      <c r="K50" s="8">
        <f t="shared" ref="K50:Q50" si="46">LN(C50/C49)</f>
        <v>0.13817623159920472</v>
      </c>
      <c r="L50" s="8">
        <f t="shared" si="46"/>
        <v>6.1441026061658299E-2</v>
      </c>
      <c r="M50" s="8">
        <f t="shared" si="46"/>
        <v>0.10140222023466042</v>
      </c>
      <c r="N50" s="8">
        <f t="shared" si="46"/>
        <v>0.14757262303206664</v>
      </c>
      <c r="O50" s="8">
        <f t="shared" si="46"/>
        <v>0.13914083967894017</v>
      </c>
      <c r="P50" s="8">
        <f t="shared" si="46"/>
        <v>0.15785876896229287</v>
      </c>
      <c r="Q50" s="7">
        <f t="shared" si="46"/>
        <v>6.1128855114090719E-2</v>
      </c>
      <c r="R50" s="6">
        <v>6.58</v>
      </c>
    </row>
    <row r="51" spans="1:18" ht="14.5">
      <c r="A51" s="5">
        <v>45661</v>
      </c>
      <c r="C51" s="6">
        <v>349.8</v>
      </c>
      <c r="D51" s="6">
        <v>509.95</v>
      </c>
      <c r="E51" s="6">
        <v>354.85</v>
      </c>
      <c r="F51" s="6">
        <v>488.4</v>
      </c>
      <c r="G51" s="6">
        <v>82.58</v>
      </c>
      <c r="H51" s="6">
        <v>289.39999999999998</v>
      </c>
      <c r="I51" s="6">
        <v>22161.599999999999</v>
      </c>
      <c r="K51" s="8">
        <f t="shared" ref="K51:Q51" si="47">LN(C51/C50)</f>
        <v>-2.2053480714857378E-2</v>
      </c>
      <c r="L51" s="8">
        <f t="shared" si="47"/>
        <v>1.2754478059681018E-3</v>
      </c>
      <c r="M51" s="8">
        <f t="shared" si="47"/>
        <v>-5.6296959181416438E-2</v>
      </c>
      <c r="N51" s="8">
        <f t="shared" si="47"/>
        <v>-9.6537927042647298E-2</v>
      </c>
      <c r="O51" s="8">
        <f t="shared" si="47"/>
        <v>4.6122183958098393E-3</v>
      </c>
      <c r="P51" s="8">
        <f t="shared" si="47"/>
        <v>-3.2772776206755846E-3</v>
      </c>
      <c r="Q51" s="7">
        <f t="shared" si="47"/>
        <v>-5.9462425155424541E-2</v>
      </c>
      <c r="R51" s="6">
        <v>6.5750000000000002</v>
      </c>
    </row>
    <row r="55" spans="1:18" ht="31">
      <c r="A55" s="9" t="s">
        <v>12</v>
      </c>
      <c r="B55" s="10" t="s">
        <v>13</v>
      </c>
      <c r="C55" s="9" t="s">
        <v>14</v>
      </c>
      <c r="D55" s="9" t="s">
        <v>15</v>
      </c>
      <c r="E55" s="10" t="s">
        <v>16</v>
      </c>
      <c r="H55" s="11"/>
      <c r="I55" s="10" t="s">
        <v>17</v>
      </c>
      <c r="J55" s="10" t="s">
        <v>18</v>
      </c>
    </row>
    <row r="56" spans="1:18" ht="15.5">
      <c r="A56" s="12" t="s">
        <v>5</v>
      </c>
      <c r="B56" s="13">
        <f>NTPC!B11</f>
        <v>1.0881000000000001</v>
      </c>
      <c r="C56" s="14">
        <f>'D TO E'!G2</f>
        <v>1.3939999999999999</v>
      </c>
      <c r="D56" s="15">
        <v>0.3</v>
      </c>
      <c r="E56" s="13">
        <f t="shared" ref="E56:E61" si="48">B56/((1+(1-D56)*C56))</f>
        <v>0.55071363498329795</v>
      </c>
      <c r="H56" s="16" t="s">
        <v>19</v>
      </c>
      <c r="I56" s="17">
        <f>AVERAGE(Q3:Q51)</f>
        <v>8.6502429429835999E-3</v>
      </c>
      <c r="J56" s="17">
        <f>AVERAGE(R3:R51)/100</f>
        <v>6.9137346938775504E-2</v>
      </c>
    </row>
    <row r="57" spans="1:18" ht="15.5">
      <c r="A57" s="12" t="s">
        <v>20</v>
      </c>
      <c r="B57" s="13">
        <f>ADANIPOWER!B11</f>
        <v>1.2726999999999999</v>
      </c>
      <c r="C57" s="14">
        <f>'D TO E'!G3</f>
        <v>1.784</v>
      </c>
      <c r="D57" s="15">
        <v>0.3</v>
      </c>
      <c r="E57" s="13">
        <f t="shared" si="48"/>
        <v>0.56594628246175738</v>
      </c>
      <c r="H57" s="16" t="s">
        <v>21</v>
      </c>
      <c r="I57" s="17">
        <f>(1+I56)^12-1</f>
        <v>0.10888668719856409</v>
      </c>
      <c r="J57" s="17">
        <f>J56</f>
        <v>6.9137346938775504E-2</v>
      </c>
    </row>
    <row r="58" spans="1:18" ht="15.5">
      <c r="A58" s="12" t="s">
        <v>22</v>
      </c>
      <c r="B58" s="13">
        <f>TATAPOWER!B11</f>
        <v>1.3878999999999999</v>
      </c>
      <c r="C58" s="14">
        <f>'D TO E'!G4</f>
        <v>1.718</v>
      </c>
      <c r="D58" s="15">
        <v>0.3</v>
      </c>
      <c r="E58" s="13">
        <f t="shared" si="48"/>
        <v>0.63011895033142651</v>
      </c>
    </row>
    <row r="59" spans="1:18" ht="15.5">
      <c r="A59" s="12" t="s">
        <v>8</v>
      </c>
      <c r="B59" s="13">
        <f>'JSW ENERGY'!B11</f>
        <v>1.7603</v>
      </c>
      <c r="C59" s="14">
        <f>'D TO E'!G5</f>
        <v>0.42399999999999999</v>
      </c>
      <c r="D59" s="15">
        <v>0.3</v>
      </c>
      <c r="E59" s="13">
        <f t="shared" si="48"/>
        <v>1.3574182603331277</v>
      </c>
    </row>
    <row r="60" spans="1:18" ht="15.5">
      <c r="A60" s="12" t="s">
        <v>9</v>
      </c>
      <c r="B60" s="13">
        <f>NHPC!B11</f>
        <v>1.1168</v>
      </c>
      <c r="C60" s="14">
        <f>'D TO E'!G6</f>
        <v>0.82399999999999995</v>
      </c>
      <c r="D60" s="15">
        <v>0.3</v>
      </c>
      <c r="E60" s="13">
        <f t="shared" si="48"/>
        <v>0.70826991374936588</v>
      </c>
    </row>
    <row r="61" spans="1:18" ht="15.5">
      <c r="A61" s="18" t="s">
        <v>10</v>
      </c>
      <c r="B61" s="19">
        <f>POWERGRID!B11</f>
        <v>0.96609999999999996</v>
      </c>
      <c r="C61" s="14">
        <f>'D TO E'!G7</f>
        <v>1.6080000000000001</v>
      </c>
      <c r="D61" s="15">
        <v>0.3</v>
      </c>
      <c r="E61" s="13">
        <f t="shared" si="48"/>
        <v>0.45450696273993224</v>
      </c>
    </row>
  </sheetData>
  <mergeCells count="2">
    <mergeCell ref="C1:I1"/>
    <mergeCell ref="K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0.32700000000000001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0.313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1.9800000000000002E-2</v>
      </c>
      <c r="C10" s="24">
        <v>8.9999999999999993E-3</v>
      </c>
      <c r="D10" s="24">
        <v>2.2189999999999999</v>
      </c>
      <c r="E10" s="24">
        <v>3.1E-2</v>
      </c>
      <c r="F10" s="24">
        <v>2E-3</v>
      </c>
      <c r="G10" s="24">
        <v>3.7999999999999999E-2</v>
      </c>
    </row>
    <row r="11" spans="1:7" ht="15.75" customHeight="1">
      <c r="A11" s="25" t="s">
        <v>35</v>
      </c>
      <c r="B11" s="28">
        <v>1.0881000000000001</v>
      </c>
      <c r="C11" s="26">
        <v>0.23</v>
      </c>
      <c r="D11" s="26">
        <v>4.7309999999999999</v>
      </c>
      <c r="E11" s="28">
        <v>0</v>
      </c>
      <c r="F11" s="26">
        <v>0.625</v>
      </c>
      <c r="G11" s="26">
        <v>1.5509999999999999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1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9.0999999999999998E-2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7.1999999999999995E-2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2.3800000000000002E-2</v>
      </c>
      <c r="C10" s="24">
        <v>2.3E-2</v>
      </c>
      <c r="D10" s="24">
        <v>1.0369999999999999</v>
      </c>
      <c r="E10" s="24">
        <v>0.30499999999999999</v>
      </c>
      <c r="F10" s="24">
        <v>-2.1999999999999999E-2</v>
      </c>
      <c r="G10" s="24">
        <v>7.0000000000000007E-2</v>
      </c>
    </row>
    <row r="11" spans="1:7" ht="15.75" customHeight="1">
      <c r="A11" s="25" t="s">
        <v>35</v>
      </c>
      <c r="B11" s="28">
        <v>1.2726999999999999</v>
      </c>
      <c r="C11" s="26">
        <v>0.59199999999999997</v>
      </c>
      <c r="D11" s="26">
        <v>2.15</v>
      </c>
      <c r="E11" s="28">
        <v>3.6999999999999998E-2</v>
      </c>
      <c r="F11" s="26">
        <v>8.1000000000000003E-2</v>
      </c>
      <c r="G11" s="26">
        <v>2.464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1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0.33200000000000002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0.318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1.52E-2</v>
      </c>
      <c r="C10" s="24">
        <v>1.0999999999999999E-2</v>
      </c>
      <c r="D10" s="24">
        <v>1.35</v>
      </c>
      <c r="E10" s="24">
        <v>0.183</v>
      </c>
      <c r="F10" s="24">
        <v>-7.0000000000000001E-3</v>
      </c>
      <c r="G10" s="24">
        <v>3.7999999999999999E-2</v>
      </c>
    </row>
    <row r="11" spans="1:7" ht="15.75" customHeight="1">
      <c r="A11" s="25" t="s">
        <v>35</v>
      </c>
      <c r="B11" s="28">
        <v>1.3878999999999999</v>
      </c>
      <c r="C11" s="26">
        <v>0.28999999999999998</v>
      </c>
      <c r="D11" s="26">
        <v>4.7859999999999996</v>
      </c>
      <c r="E11" s="28">
        <v>0</v>
      </c>
      <c r="F11" s="26">
        <v>0.80400000000000005</v>
      </c>
      <c r="G11" s="26">
        <v>1.972</v>
      </c>
    </row>
  </sheetData>
  <mergeCells count="1"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1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0.186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0.16900000000000001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1.5800000000000002E-2</v>
      </c>
      <c r="C10" s="24">
        <v>2.1000000000000001E-2</v>
      </c>
      <c r="D10" s="24">
        <v>0.75</v>
      </c>
      <c r="E10" s="24">
        <v>0.45700000000000002</v>
      </c>
      <c r="F10" s="24">
        <v>-2.7E-2</v>
      </c>
      <c r="G10" s="24">
        <v>5.8000000000000003E-2</v>
      </c>
    </row>
    <row r="11" spans="1:7" ht="15.75" customHeight="1">
      <c r="A11" s="25" t="s">
        <v>35</v>
      </c>
      <c r="B11" s="28">
        <v>1.7603</v>
      </c>
      <c r="C11" s="26">
        <v>0.54200000000000004</v>
      </c>
      <c r="D11" s="26">
        <v>3.246</v>
      </c>
      <c r="E11" s="28">
        <v>2E-3</v>
      </c>
      <c r="F11" s="26">
        <v>0.66900000000000004</v>
      </c>
      <c r="G11" s="26">
        <v>2.8519999999999999</v>
      </c>
    </row>
  </sheetData>
  <mergeCells count="1"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1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0.222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0.20499999999999999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1.9300000000000001E-2</v>
      </c>
      <c r="C10" s="24">
        <v>1.2E-2</v>
      </c>
      <c r="D10" s="24">
        <v>1.61</v>
      </c>
      <c r="E10" s="24">
        <v>0.114</v>
      </c>
      <c r="F10" s="24">
        <v>-5.0000000000000001E-3</v>
      </c>
      <c r="G10" s="24">
        <v>4.2999999999999997E-2</v>
      </c>
    </row>
    <row r="11" spans="1:7" ht="15.75" customHeight="1">
      <c r="A11" s="25" t="s">
        <v>35</v>
      </c>
      <c r="B11" s="28">
        <v>1.1168</v>
      </c>
      <c r="C11" s="26">
        <v>0.308</v>
      </c>
      <c r="D11" s="26">
        <v>3.6219999999999999</v>
      </c>
      <c r="E11" s="28">
        <v>1E-3</v>
      </c>
      <c r="F11" s="26">
        <v>0.496</v>
      </c>
      <c r="G11" s="26">
        <v>1.7370000000000001</v>
      </c>
    </row>
  </sheetData>
  <mergeCells count="1"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1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0.318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0.30299999999999999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1.41E-2</v>
      </c>
      <c r="C10" s="24">
        <v>8.0000000000000002E-3</v>
      </c>
      <c r="D10" s="24">
        <v>1.752</v>
      </c>
      <c r="E10" s="24">
        <v>8.5999999999999993E-2</v>
      </c>
      <c r="F10" s="24">
        <v>-2E-3</v>
      </c>
      <c r="G10" s="24">
        <v>0.03</v>
      </c>
    </row>
    <row r="11" spans="1:7" ht="15.75" customHeight="1">
      <c r="A11" s="25" t="s">
        <v>35</v>
      </c>
      <c r="B11" s="28">
        <v>0.96609999999999996</v>
      </c>
      <c r="C11" s="26">
        <v>0.20799999999999999</v>
      </c>
      <c r="D11" s="26">
        <v>4.6340000000000003</v>
      </c>
      <c r="E11" s="28">
        <v>0</v>
      </c>
      <c r="F11" s="26">
        <v>0.54600000000000004</v>
      </c>
      <c r="G11" s="26">
        <v>1.3859999999999999</v>
      </c>
    </row>
  </sheetData>
  <mergeCells count="1">
    <mergeCell ref="A3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56"/>
  <sheetViews>
    <sheetView workbookViewId="0"/>
  </sheetViews>
  <sheetFormatPr defaultColWidth="12.6328125" defaultRowHeight="15.75" customHeight="1"/>
  <cols>
    <col min="13" max="13" width="19.7265625" customWidth="1"/>
  </cols>
  <sheetData>
    <row r="1" spans="1:29" ht="15.75" customHeight="1">
      <c r="A1" s="29" t="s">
        <v>5</v>
      </c>
      <c r="B1" s="21"/>
      <c r="C1" s="21"/>
      <c r="D1" s="21"/>
      <c r="F1" s="157" t="s">
        <v>6</v>
      </c>
      <c r="G1" s="151"/>
      <c r="H1" s="21"/>
      <c r="I1" s="21"/>
      <c r="K1" s="157" t="s">
        <v>7</v>
      </c>
      <c r="L1" s="151"/>
      <c r="M1" s="21"/>
      <c r="N1" s="21"/>
      <c r="P1" s="157" t="s">
        <v>8</v>
      </c>
      <c r="Q1" s="151"/>
      <c r="R1" s="21"/>
      <c r="S1" s="21"/>
      <c r="U1" s="29" t="s">
        <v>9</v>
      </c>
      <c r="V1" s="21"/>
      <c r="W1" s="21"/>
      <c r="X1" s="21"/>
      <c r="Z1" s="157" t="s">
        <v>10</v>
      </c>
      <c r="AA1" s="151"/>
      <c r="AB1" s="21"/>
      <c r="AC1" s="21"/>
    </row>
    <row r="2" spans="1:29" ht="15.75" customHeight="1">
      <c r="A2" s="21"/>
      <c r="B2" s="21"/>
      <c r="C2" s="21"/>
      <c r="D2" s="21"/>
      <c r="F2" s="21"/>
      <c r="G2" s="21"/>
      <c r="H2" s="21"/>
      <c r="I2" s="21"/>
      <c r="K2" s="21"/>
      <c r="L2" s="21"/>
      <c r="M2" s="21"/>
      <c r="N2" s="21"/>
      <c r="P2" s="21"/>
      <c r="Q2" s="21"/>
      <c r="R2" s="21"/>
      <c r="S2" s="21"/>
      <c r="U2" s="21"/>
      <c r="V2" s="21"/>
      <c r="W2" s="21"/>
      <c r="X2" s="21"/>
      <c r="Z2" s="21"/>
      <c r="AA2" s="21"/>
      <c r="AB2" s="21"/>
      <c r="AC2" s="21"/>
    </row>
    <row r="3" spans="1:29" ht="15.75" customHeight="1">
      <c r="A3" s="21"/>
      <c r="B3" s="21"/>
      <c r="C3" s="21"/>
      <c r="D3" s="21"/>
      <c r="F3" s="21"/>
      <c r="G3" s="21"/>
      <c r="H3" s="21"/>
      <c r="I3" s="21"/>
      <c r="K3" s="21"/>
      <c r="L3" s="21"/>
      <c r="M3" s="21"/>
      <c r="N3" s="21"/>
      <c r="P3" s="21"/>
      <c r="Q3" s="21"/>
      <c r="R3" s="21"/>
      <c r="S3" s="21"/>
      <c r="U3" s="21"/>
      <c r="V3" s="21"/>
      <c r="W3" s="21"/>
      <c r="X3" s="21"/>
      <c r="Z3" s="21"/>
      <c r="AA3" s="21"/>
      <c r="AB3" s="21"/>
      <c r="AC3" s="21"/>
    </row>
    <row r="4" spans="1:29" ht="15.75" customHeight="1">
      <c r="A4" s="30" t="s">
        <v>0</v>
      </c>
      <c r="B4" s="30" t="s">
        <v>36</v>
      </c>
      <c r="C4" s="30" t="s">
        <v>37</v>
      </c>
      <c r="D4" s="30" t="s">
        <v>38</v>
      </c>
      <c r="F4" s="30" t="s">
        <v>0</v>
      </c>
      <c r="G4" s="30" t="s">
        <v>36</v>
      </c>
      <c r="H4" s="30" t="s">
        <v>37</v>
      </c>
      <c r="I4" s="30" t="s">
        <v>38</v>
      </c>
      <c r="K4" s="30" t="s">
        <v>0</v>
      </c>
      <c r="L4" s="30" t="s">
        <v>36</v>
      </c>
      <c r="M4" s="30" t="s">
        <v>37</v>
      </c>
      <c r="N4" s="30" t="s">
        <v>38</v>
      </c>
      <c r="P4" s="30" t="s">
        <v>0</v>
      </c>
      <c r="Q4" s="30" t="s">
        <v>36</v>
      </c>
      <c r="R4" s="30" t="s">
        <v>37</v>
      </c>
      <c r="S4" s="30" t="s">
        <v>38</v>
      </c>
      <c r="U4" s="30" t="s">
        <v>0</v>
      </c>
      <c r="V4" s="30" t="s">
        <v>36</v>
      </c>
      <c r="W4" s="30" t="s">
        <v>37</v>
      </c>
      <c r="X4" s="30" t="s">
        <v>38</v>
      </c>
      <c r="Z4" s="30" t="s">
        <v>0</v>
      </c>
      <c r="AA4" s="30" t="s">
        <v>36</v>
      </c>
      <c r="AB4" s="30" t="s">
        <v>37</v>
      </c>
      <c r="AC4" s="30" t="s">
        <v>38</v>
      </c>
    </row>
    <row r="5" spans="1:29" ht="15.75" customHeight="1">
      <c r="A5" s="5">
        <v>44200</v>
      </c>
      <c r="B5" s="6">
        <v>85.412139999999994</v>
      </c>
      <c r="C5" s="6">
        <v>322068662</v>
      </c>
      <c r="D5" s="8">
        <f t="shared" ref="D5:D53" si="0">B5*C5</f>
        <v>27508573648.356678</v>
      </c>
      <c r="F5" s="5">
        <v>44200</v>
      </c>
      <c r="G5" s="6">
        <v>94.75</v>
      </c>
      <c r="H5" s="6">
        <v>391842219</v>
      </c>
      <c r="I5" s="8">
        <f t="shared" ref="I5:I53" si="1">G5*H5</f>
        <v>37127050250.25</v>
      </c>
      <c r="K5" s="5">
        <v>44200</v>
      </c>
      <c r="L5" s="6">
        <v>95.522170000000003</v>
      </c>
      <c r="M5" s="31">
        <v>857000000</v>
      </c>
      <c r="N5" s="32">
        <f t="shared" ref="N5:N53" si="2">L5*M5</f>
        <v>81862499690</v>
      </c>
      <c r="P5" s="5">
        <v>44200</v>
      </c>
      <c r="Q5" s="6">
        <v>106.72029999999999</v>
      </c>
      <c r="R5" s="31">
        <v>217000000</v>
      </c>
      <c r="S5" s="32">
        <f t="shared" ref="S5:S53" si="3">Q5*R5</f>
        <v>23158305100</v>
      </c>
      <c r="U5" s="5">
        <v>44200</v>
      </c>
      <c r="V5" s="6">
        <v>20.773099999999999</v>
      </c>
      <c r="W5" s="6">
        <v>43501353</v>
      </c>
      <c r="X5" s="8">
        <f t="shared" ref="X5:X53" si="4">V5*W5</f>
        <v>903657956.0043</v>
      </c>
      <c r="Z5" s="5">
        <v>44200</v>
      </c>
      <c r="AA5" s="6">
        <v>100.7787</v>
      </c>
      <c r="AB5" s="31">
        <v>342000000</v>
      </c>
      <c r="AC5" s="32">
        <f t="shared" ref="AC5:AC53" si="5">AA5*AB5</f>
        <v>34466315400</v>
      </c>
    </row>
    <row r="6" spans="1:29" ht="15.75" customHeight="1">
      <c r="A6" s="5">
        <v>44201</v>
      </c>
      <c r="B6" s="6">
        <v>92.123400000000004</v>
      </c>
      <c r="C6" s="6">
        <v>384108057</v>
      </c>
      <c r="D6" s="8">
        <f t="shared" si="0"/>
        <v>35385340178.233803</v>
      </c>
      <c r="F6" s="5">
        <v>44201</v>
      </c>
      <c r="G6" s="6">
        <v>92.5</v>
      </c>
      <c r="H6" s="6">
        <v>321665163</v>
      </c>
      <c r="I6" s="8">
        <f t="shared" si="1"/>
        <v>29754027577.5</v>
      </c>
      <c r="K6" s="5">
        <v>44201</v>
      </c>
      <c r="L6" s="6">
        <v>102.8663</v>
      </c>
      <c r="M6" s="31">
        <v>779000000</v>
      </c>
      <c r="N6" s="32">
        <f t="shared" si="2"/>
        <v>80132847700</v>
      </c>
      <c r="P6" s="5">
        <v>44201</v>
      </c>
      <c r="Q6" s="6">
        <v>114.6562</v>
      </c>
      <c r="R6" s="31">
        <v>127000000</v>
      </c>
      <c r="S6" s="32">
        <f t="shared" si="3"/>
        <v>14561337400</v>
      </c>
      <c r="U6" s="5">
        <v>44201</v>
      </c>
      <c r="V6" s="6">
        <v>22.272189999999998</v>
      </c>
      <c r="W6" s="31">
        <v>166000000</v>
      </c>
      <c r="X6" s="32">
        <f t="shared" si="4"/>
        <v>3697183539.9999995</v>
      </c>
      <c r="Z6" s="5">
        <v>44201</v>
      </c>
      <c r="AA6" s="6">
        <v>103.3434</v>
      </c>
      <c r="AB6" s="31">
        <v>460000000</v>
      </c>
      <c r="AC6" s="32">
        <f t="shared" si="5"/>
        <v>47537964000</v>
      </c>
    </row>
    <row r="7" spans="1:29" ht="15.75" customHeight="1">
      <c r="A7" s="5">
        <v>44202</v>
      </c>
      <c r="B7" s="6">
        <v>97.042199999999994</v>
      </c>
      <c r="C7" s="6">
        <v>449217999</v>
      </c>
      <c r="D7" s="8">
        <f t="shared" si="0"/>
        <v>43593102902.5578</v>
      </c>
      <c r="F7" s="5">
        <v>44202</v>
      </c>
      <c r="G7" s="6">
        <v>113.45</v>
      </c>
      <c r="H7" s="6">
        <v>855635884</v>
      </c>
      <c r="I7" s="8">
        <f t="shared" si="1"/>
        <v>97071891039.800003</v>
      </c>
      <c r="K7" s="5">
        <v>44202</v>
      </c>
      <c r="L7" s="6">
        <v>117.9894</v>
      </c>
      <c r="M7" s="31">
        <v>1490000000</v>
      </c>
      <c r="N7" s="32">
        <f t="shared" si="2"/>
        <v>175804206000</v>
      </c>
      <c r="P7" s="5">
        <v>44202</v>
      </c>
      <c r="Q7" s="6">
        <v>163.3425</v>
      </c>
      <c r="R7" s="31">
        <v>185000000</v>
      </c>
      <c r="S7" s="32">
        <f t="shared" si="3"/>
        <v>30218362500</v>
      </c>
      <c r="U7" s="5">
        <v>44202</v>
      </c>
      <c r="V7" s="6">
        <v>22.443519999999999</v>
      </c>
      <c r="W7" s="31">
        <v>213000000</v>
      </c>
      <c r="X7" s="32">
        <f t="shared" si="4"/>
        <v>4780469760</v>
      </c>
      <c r="Z7" s="5">
        <v>44202</v>
      </c>
      <c r="AA7" s="6">
        <v>106.4348</v>
      </c>
      <c r="AB7" s="31">
        <v>461000000</v>
      </c>
      <c r="AC7" s="32">
        <f t="shared" si="5"/>
        <v>49066442800</v>
      </c>
    </row>
    <row r="8" spans="1:29" ht="15.75" customHeight="1">
      <c r="A8" s="5">
        <v>44203</v>
      </c>
      <c r="B8" s="6">
        <v>98.542839999999998</v>
      </c>
      <c r="C8" s="6">
        <v>267374589</v>
      </c>
      <c r="D8" s="8">
        <f t="shared" si="0"/>
        <v>26347851343.892761</v>
      </c>
      <c r="F8" s="5">
        <v>44203</v>
      </c>
      <c r="G8" s="6">
        <v>95.85</v>
      </c>
      <c r="H8" s="6">
        <v>74066782</v>
      </c>
      <c r="I8" s="8">
        <f t="shared" si="1"/>
        <v>7099301054.6999998</v>
      </c>
      <c r="K8" s="5">
        <v>44203</v>
      </c>
      <c r="L8" s="6">
        <v>122.29689999999999</v>
      </c>
      <c r="M8" s="31">
        <v>568000000</v>
      </c>
      <c r="N8" s="32">
        <f t="shared" si="2"/>
        <v>69464639200</v>
      </c>
      <c r="P8" s="5">
        <v>44203</v>
      </c>
      <c r="Q8" s="6">
        <v>245.9144</v>
      </c>
      <c r="R8" s="31">
        <v>120000000</v>
      </c>
      <c r="S8" s="32">
        <f t="shared" si="3"/>
        <v>29509728000</v>
      </c>
      <c r="U8" s="5">
        <v>44203</v>
      </c>
      <c r="V8" s="6">
        <v>22.486350000000002</v>
      </c>
      <c r="W8" s="6">
        <v>88683218</v>
      </c>
      <c r="X8" s="8">
        <f t="shared" si="4"/>
        <v>1994161879.0743001</v>
      </c>
      <c r="Z8" s="5">
        <v>44203</v>
      </c>
      <c r="AA8" s="6">
        <v>104.51130000000001</v>
      </c>
      <c r="AB8" s="31">
        <v>246000000</v>
      </c>
      <c r="AC8" s="32">
        <f t="shared" si="5"/>
        <v>25709779800</v>
      </c>
    </row>
    <row r="9" spans="1:29" ht="15.75" customHeight="1">
      <c r="A9" s="5">
        <v>44204</v>
      </c>
      <c r="B9" s="6">
        <v>96.667029999999997</v>
      </c>
      <c r="C9" s="6">
        <v>213000640</v>
      </c>
      <c r="D9" s="8">
        <f t="shared" si="0"/>
        <v>20590139256.8992</v>
      </c>
      <c r="F9" s="5">
        <v>44204</v>
      </c>
      <c r="G9" s="6">
        <v>98.5</v>
      </c>
      <c r="H9" s="6">
        <v>91458437</v>
      </c>
      <c r="I9" s="8">
        <f t="shared" si="1"/>
        <v>9008656044.5</v>
      </c>
      <c r="K9" s="5">
        <v>44204</v>
      </c>
      <c r="L9" s="6">
        <v>126.2593</v>
      </c>
      <c r="M9" s="31">
        <v>688000000</v>
      </c>
      <c r="N9" s="32">
        <f t="shared" si="2"/>
        <v>86866398400</v>
      </c>
      <c r="P9" s="5">
        <v>44204</v>
      </c>
      <c r="Q9" s="6">
        <v>259.85250000000002</v>
      </c>
      <c r="R9" s="6">
        <v>46897128</v>
      </c>
      <c r="S9" s="8">
        <f t="shared" si="3"/>
        <v>12186335953.620001</v>
      </c>
      <c r="U9" s="5">
        <v>44204</v>
      </c>
      <c r="V9" s="6">
        <v>23.085989999999999</v>
      </c>
      <c r="W9" s="31">
        <v>121000000</v>
      </c>
      <c r="X9" s="32">
        <f t="shared" si="4"/>
        <v>2793404790</v>
      </c>
      <c r="Z9" s="5">
        <v>44204</v>
      </c>
      <c r="AA9" s="6">
        <v>107.0759</v>
      </c>
      <c r="AB9" s="31">
        <v>406000000</v>
      </c>
      <c r="AC9" s="32">
        <f t="shared" si="5"/>
        <v>43472815400</v>
      </c>
    </row>
    <row r="10" spans="1:29" ht="15.75" customHeight="1">
      <c r="A10" s="5">
        <v>44205</v>
      </c>
      <c r="B10" s="6">
        <v>118.2598</v>
      </c>
      <c r="C10" s="6">
        <v>351704842</v>
      </c>
      <c r="D10" s="8">
        <f t="shared" si="0"/>
        <v>41592544273.951599</v>
      </c>
      <c r="F10" s="5">
        <v>44205</v>
      </c>
      <c r="G10" s="6">
        <v>97.1</v>
      </c>
      <c r="H10" s="6">
        <v>100312748</v>
      </c>
      <c r="I10" s="8">
        <f t="shared" si="1"/>
        <v>9740367830.7999992</v>
      </c>
      <c r="K10" s="5">
        <v>44205</v>
      </c>
      <c r="L10" s="6">
        <v>155.31700000000001</v>
      </c>
      <c r="M10" s="31">
        <v>706000000</v>
      </c>
      <c r="N10" s="32">
        <f t="shared" si="2"/>
        <v>109653802000</v>
      </c>
      <c r="P10" s="5">
        <v>44205</v>
      </c>
      <c r="Q10" s="6">
        <v>382.83199999999999</v>
      </c>
      <c r="R10" s="6">
        <v>31778127</v>
      </c>
      <c r="S10" s="8">
        <f t="shared" si="3"/>
        <v>12165683915.664</v>
      </c>
      <c r="U10" s="5">
        <v>44205</v>
      </c>
      <c r="V10" s="6">
        <v>25.57019</v>
      </c>
      <c r="W10" s="31">
        <v>301000000</v>
      </c>
      <c r="X10" s="32">
        <f t="shared" si="4"/>
        <v>7696627190</v>
      </c>
      <c r="Z10" s="5">
        <v>44205</v>
      </c>
      <c r="AA10" s="6">
        <v>115.96080000000001</v>
      </c>
      <c r="AB10" s="31">
        <v>333000000</v>
      </c>
      <c r="AC10" s="32">
        <f t="shared" si="5"/>
        <v>38614946400</v>
      </c>
    </row>
    <row r="11" spans="1:29" ht="15.75" customHeight="1">
      <c r="A11" s="5">
        <v>44206</v>
      </c>
      <c r="B11" s="6">
        <v>116.65</v>
      </c>
      <c r="C11" s="6">
        <v>410945318</v>
      </c>
      <c r="D11" s="8">
        <f t="shared" si="0"/>
        <v>47936771344.700005</v>
      </c>
      <c r="F11" s="5">
        <v>44206</v>
      </c>
      <c r="G11" s="6">
        <v>100.5</v>
      </c>
      <c r="H11" s="6">
        <v>223376532</v>
      </c>
      <c r="I11" s="8">
        <f t="shared" si="1"/>
        <v>22449341466</v>
      </c>
      <c r="K11" s="5">
        <v>44206</v>
      </c>
      <c r="L11" s="6">
        <v>209.66569999999999</v>
      </c>
      <c r="M11" s="31">
        <v>2600000000</v>
      </c>
      <c r="N11" s="32">
        <f t="shared" si="2"/>
        <v>545130819999.99994</v>
      </c>
      <c r="P11" s="5">
        <v>44206</v>
      </c>
      <c r="Q11" s="6">
        <v>342.3297</v>
      </c>
      <c r="R11" s="6">
        <v>29050882</v>
      </c>
      <c r="S11" s="8">
        <f t="shared" si="3"/>
        <v>9944979719.7954006</v>
      </c>
      <c r="U11" s="5">
        <v>44206</v>
      </c>
      <c r="V11" s="6">
        <v>26.631810000000002</v>
      </c>
      <c r="W11" s="31">
        <v>299000000</v>
      </c>
      <c r="X11" s="32">
        <f t="shared" si="4"/>
        <v>7962911190</v>
      </c>
      <c r="Z11" s="5">
        <v>44206</v>
      </c>
      <c r="AA11" s="6">
        <v>114.9933</v>
      </c>
      <c r="AB11" s="31">
        <v>294000000</v>
      </c>
      <c r="AC11" s="32">
        <f t="shared" si="5"/>
        <v>33808030200</v>
      </c>
    </row>
    <row r="12" spans="1:29" ht="15.75" customHeight="1">
      <c r="A12" s="5">
        <v>44207</v>
      </c>
      <c r="B12" s="6">
        <v>111.9014</v>
      </c>
      <c r="C12" s="6">
        <v>227168422</v>
      </c>
      <c r="D12" s="8">
        <f t="shared" si="0"/>
        <v>25420464457.590797</v>
      </c>
      <c r="F12" s="5">
        <v>44207</v>
      </c>
      <c r="G12" s="6">
        <v>99.35</v>
      </c>
      <c r="H12" s="6">
        <v>85614034</v>
      </c>
      <c r="I12" s="8">
        <f t="shared" si="1"/>
        <v>8505754277.8999996</v>
      </c>
      <c r="K12" s="5">
        <v>44207</v>
      </c>
      <c r="L12" s="6">
        <v>212.11170000000001</v>
      </c>
      <c r="M12" s="31">
        <v>1360000000</v>
      </c>
      <c r="N12" s="32">
        <f t="shared" si="2"/>
        <v>288471912000</v>
      </c>
      <c r="P12" s="5">
        <v>44207</v>
      </c>
      <c r="Q12" s="6">
        <v>282.09190000000001</v>
      </c>
      <c r="R12" s="6">
        <v>33830131</v>
      </c>
      <c r="S12" s="8">
        <f t="shared" si="3"/>
        <v>9543205931.0389004</v>
      </c>
      <c r="U12" s="5">
        <v>44207</v>
      </c>
      <c r="V12" s="6">
        <v>26.978809999999999</v>
      </c>
      <c r="W12" s="31">
        <v>146000000</v>
      </c>
      <c r="X12" s="32">
        <f t="shared" si="4"/>
        <v>3938906260</v>
      </c>
      <c r="Z12" s="5">
        <v>44207</v>
      </c>
      <c r="AA12" s="6">
        <v>128.47800000000001</v>
      </c>
      <c r="AB12" s="31">
        <v>311000000</v>
      </c>
      <c r="AC12" s="32">
        <f t="shared" si="5"/>
        <v>39956658000</v>
      </c>
    </row>
    <row r="13" spans="1:29" ht="15.75" customHeight="1">
      <c r="A13" s="5">
        <v>44208</v>
      </c>
      <c r="B13" s="6">
        <v>109.3951</v>
      </c>
      <c r="C13" s="6">
        <v>264909689</v>
      </c>
      <c r="D13" s="8">
        <f t="shared" si="0"/>
        <v>28979821919.123901</v>
      </c>
      <c r="F13" s="5">
        <v>44208</v>
      </c>
      <c r="G13" s="6">
        <v>99.7</v>
      </c>
      <c r="H13" s="6">
        <v>77906843</v>
      </c>
      <c r="I13" s="8">
        <f t="shared" si="1"/>
        <v>7767312247.1000004</v>
      </c>
      <c r="K13" s="5">
        <v>44208</v>
      </c>
      <c r="L13" s="6">
        <v>216.17189999999999</v>
      </c>
      <c r="M13" s="31">
        <v>724000000</v>
      </c>
      <c r="N13" s="32">
        <f t="shared" si="2"/>
        <v>156508455600</v>
      </c>
      <c r="P13" s="5">
        <v>44208</v>
      </c>
      <c r="Q13" s="6">
        <v>295.05259999999998</v>
      </c>
      <c r="R13" s="6">
        <v>16850855</v>
      </c>
      <c r="S13" s="8">
        <f t="shared" si="3"/>
        <v>4971888579.9729996</v>
      </c>
      <c r="U13" s="5">
        <v>44208</v>
      </c>
      <c r="V13" s="6">
        <v>26.848690000000001</v>
      </c>
      <c r="W13" s="31">
        <v>198000000</v>
      </c>
      <c r="X13" s="32">
        <f t="shared" si="4"/>
        <v>5316040620</v>
      </c>
      <c r="Z13" s="5">
        <v>44208</v>
      </c>
      <c r="AA13" s="6">
        <v>127.0177</v>
      </c>
      <c r="AB13" s="31">
        <v>474000000</v>
      </c>
      <c r="AC13" s="32">
        <f t="shared" si="5"/>
        <v>60206389800</v>
      </c>
    </row>
    <row r="14" spans="1:29" ht="15.75" customHeight="1">
      <c r="A14" s="5">
        <v>44562</v>
      </c>
      <c r="B14" s="6">
        <v>124.9162</v>
      </c>
      <c r="C14" s="6">
        <v>293504871</v>
      </c>
      <c r="D14" s="8">
        <f t="shared" si="0"/>
        <v>36663513166.810204</v>
      </c>
      <c r="F14" s="5">
        <v>44562</v>
      </c>
      <c r="G14" s="6">
        <v>106.25</v>
      </c>
      <c r="H14" s="6">
        <v>262717406</v>
      </c>
      <c r="I14" s="8">
        <f t="shared" si="1"/>
        <v>27913724387.5</v>
      </c>
      <c r="K14" s="5">
        <v>44562</v>
      </c>
      <c r="L14" s="6">
        <v>240.72909999999999</v>
      </c>
      <c r="M14" s="31">
        <v>640000000</v>
      </c>
      <c r="N14" s="32">
        <f t="shared" si="2"/>
        <v>154066624000</v>
      </c>
      <c r="P14" s="5">
        <v>44562</v>
      </c>
      <c r="Q14" s="6">
        <v>300.8947</v>
      </c>
      <c r="R14" s="6">
        <v>15590406</v>
      </c>
      <c r="S14" s="8">
        <f t="shared" si="3"/>
        <v>4691070536.2482004</v>
      </c>
      <c r="U14" s="5">
        <v>44562</v>
      </c>
      <c r="V14" s="6">
        <v>26.024570000000001</v>
      </c>
      <c r="W14" s="31">
        <v>101000000</v>
      </c>
      <c r="X14" s="32">
        <f t="shared" si="4"/>
        <v>2628481570</v>
      </c>
      <c r="Z14" s="5">
        <v>44562</v>
      </c>
      <c r="AA14" s="6">
        <v>135.82560000000001</v>
      </c>
      <c r="AB14" s="31">
        <v>310000000</v>
      </c>
      <c r="AC14" s="32">
        <f t="shared" si="5"/>
        <v>42105936000</v>
      </c>
    </row>
    <row r="15" spans="1:29" ht="15.75" customHeight="1">
      <c r="A15" s="5">
        <v>44563</v>
      </c>
      <c r="B15" s="6">
        <v>117.39749999999999</v>
      </c>
      <c r="C15" s="6">
        <v>206605031</v>
      </c>
      <c r="D15" s="8">
        <f t="shared" si="0"/>
        <v>24254914126.822498</v>
      </c>
      <c r="F15" s="5">
        <v>44563</v>
      </c>
      <c r="G15" s="6">
        <v>123.75</v>
      </c>
      <c r="H15" s="6">
        <v>1201401558</v>
      </c>
      <c r="I15" s="8">
        <f t="shared" si="1"/>
        <v>148673442802.5</v>
      </c>
      <c r="K15" s="5">
        <v>44563</v>
      </c>
      <c r="L15" s="6">
        <v>218.22649999999999</v>
      </c>
      <c r="M15" s="31">
        <v>785000000</v>
      </c>
      <c r="N15" s="32">
        <f t="shared" si="2"/>
        <v>171307802500</v>
      </c>
      <c r="P15" s="5">
        <v>44563</v>
      </c>
      <c r="Q15" s="6">
        <v>334.03289999999998</v>
      </c>
      <c r="R15" s="6">
        <v>12705982</v>
      </c>
      <c r="S15" s="8">
        <f t="shared" si="3"/>
        <v>4244216014.8077998</v>
      </c>
      <c r="U15" s="5">
        <v>44563</v>
      </c>
      <c r="V15" s="6">
        <v>23.769110000000001</v>
      </c>
      <c r="W15" s="6">
        <v>79391826</v>
      </c>
      <c r="X15" s="8">
        <f t="shared" si="4"/>
        <v>1887073045.2948601</v>
      </c>
      <c r="Z15" s="5">
        <v>44563</v>
      </c>
      <c r="AA15" s="6">
        <v>131.8845</v>
      </c>
      <c r="AB15" s="31">
        <v>266000000</v>
      </c>
      <c r="AC15" s="32">
        <f t="shared" si="5"/>
        <v>35081277000</v>
      </c>
    </row>
    <row r="16" spans="1:29" ht="15.75" customHeight="1">
      <c r="A16" s="5">
        <v>44564</v>
      </c>
      <c r="B16" s="6">
        <v>122.179</v>
      </c>
      <c r="C16" s="6">
        <v>254347602</v>
      </c>
      <c r="D16" s="8">
        <f t="shared" si="0"/>
        <v>31075935664.757999</v>
      </c>
      <c r="F16" s="5">
        <v>44564</v>
      </c>
      <c r="G16" s="6">
        <v>185.1</v>
      </c>
      <c r="H16" s="6">
        <v>1117006956</v>
      </c>
      <c r="I16" s="8">
        <f t="shared" si="1"/>
        <v>206757987555.60001</v>
      </c>
      <c r="K16" s="5">
        <v>44564</v>
      </c>
      <c r="L16" s="6">
        <v>233.48920000000001</v>
      </c>
      <c r="M16" s="31">
        <v>448000000</v>
      </c>
      <c r="N16" s="32">
        <f t="shared" si="2"/>
        <v>104603161600</v>
      </c>
      <c r="P16" s="5">
        <v>44564</v>
      </c>
      <c r="Q16" s="6">
        <v>296.72179999999997</v>
      </c>
      <c r="R16" s="6">
        <v>10302606</v>
      </c>
      <c r="S16" s="8">
        <f t="shared" si="3"/>
        <v>3057007797.0107999</v>
      </c>
      <c r="U16" s="5">
        <v>44564</v>
      </c>
      <c r="V16" s="6">
        <v>25.215340000000001</v>
      </c>
      <c r="W16" s="31">
        <v>190000000</v>
      </c>
      <c r="X16" s="32">
        <f t="shared" si="4"/>
        <v>4790914600</v>
      </c>
      <c r="Z16" s="5">
        <v>44564</v>
      </c>
      <c r="AA16" s="6">
        <v>140.5068</v>
      </c>
      <c r="AB16" s="31">
        <v>368000000</v>
      </c>
      <c r="AC16" s="32">
        <f t="shared" si="5"/>
        <v>51706502400</v>
      </c>
    </row>
    <row r="17" spans="1:29" ht="15.75" customHeight="1">
      <c r="A17" s="5">
        <v>44565</v>
      </c>
      <c r="B17" s="6">
        <v>141.3656</v>
      </c>
      <c r="C17" s="6">
        <v>498630431</v>
      </c>
      <c r="D17" s="8">
        <f t="shared" si="0"/>
        <v>70489190056.573593</v>
      </c>
      <c r="F17" s="5">
        <v>44565</v>
      </c>
      <c r="G17" s="6">
        <v>280.35000000000002</v>
      </c>
      <c r="H17" s="6">
        <v>961355176</v>
      </c>
      <c r="I17" s="8">
        <f t="shared" si="1"/>
        <v>269515923591.60004</v>
      </c>
      <c r="K17" s="5">
        <v>44565</v>
      </c>
      <c r="L17" s="6">
        <v>237.10910000000001</v>
      </c>
      <c r="M17" s="31">
        <v>1100000000</v>
      </c>
      <c r="N17" s="32">
        <f t="shared" si="2"/>
        <v>260820010000</v>
      </c>
      <c r="P17" s="5">
        <v>44565</v>
      </c>
      <c r="Q17" s="6">
        <v>311.89170000000001</v>
      </c>
      <c r="R17" s="6">
        <v>13477966</v>
      </c>
      <c r="S17" s="8">
        <f t="shared" si="3"/>
        <v>4203665728.2822003</v>
      </c>
      <c r="U17" s="5">
        <v>44565</v>
      </c>
      <c r="V17" s="6">
        <v>30.113289999999999</v>
      </c>
      <c r="W17" s="31">
        <v>351000000</v>
      </c>
      <c r="X17" s="32">
        <f t="shared" si="4"/>
        <v>10569764790</v>
      </c>
      <c r="Z17" s="5">
        <v>44565</v>
      </c>
      <c r="AA17" s="6">
        <v>147.60339999999999</v>
      </c>
      <c r="AB17" s="31">
        <v>274000000</v>
      </c>
      <c r="AC17" s="32">
        <f t="shared" si="5"/>
        <v>40443331600</v>
      </c>
    </row>
    <row r="18" spans="1:29" ht="14.5">
      <c r="A18" s="5">
        <v>44566</v>
      </c>
      <c r="B18" s="6">
        <v>141.18459999999999</v>
      </c>
      <c r="C18" s="6">
        <v>495741362</v>
      </c>
      <c r="D18" s="8">
        <f t="shared" si="0"/>
        <v>69991045897.425201</v>
      </c>
      <c r="F18" s="5">
        <v>44566</v>
      </c>
      <c r="G18" s="6">
        <v>323.25</v>
      </c>
      <c r="H18" s="6">
        <v>566849061</v>
      </c>
      <c r="I18" s="8">
        <f t="shared" si="1"/>
        <v>183233958968.25</v>
      </c>
      <c r="K18" s="5">
        <v>44566</v>
      </c>
      <c r="L18" s="6">
        <v>230.06479999999999</v>
      </c>
      <c r="M18" s="31">
        <v>565000000</v>
      </c>
      <c r="N18" s="32">
        <f t="shared" si="2"/>
        <v>129986612000</v>
      </c>
      <c r="P18" s="5">
        <v>44566</v>
      </c>
      <c r="Q18" s="6">
        <v>271.63490000000002</v>
      </c>
      <c r="R18" s="6">
        <v>21220392</v>
      </c>
      <c r="S18" s="8">
        <f t="shared" si="3"/>
        <v>5764199058.8808002</v>
      </c>
      <c r="U18" s="5">
        <v>44566</v>
      </c>
      <c r="V18" s="6">
        <v>30.521450000000002</v>
      </c>
      <c r="W18" s="31">
        <v>199000000</v>
      </c>
      <c r="X18" s="32">
        <f t="shared" si="4"/>
        <v>6073768550</v>
      </c>
      <c r="Z18" s="5">
        <v>44566</v>
      </c>
      <c r="AA18" s="6">
        <v>150.94110000000001</v>
      </c>
      <c r="AB18" s="31">
        <v>382000000</v>
      </c>
      <c r="AC18" s="32">
        <f t="shared" si="5"/>
        <v>57659500200</v>
      </c>
    </row>
    <row r="19" spans="1:29" ht="14.5">
      <c r="A19" s="5">
        <v>44567</v>
      </c>
      <c r="B19" s="6">
        <v>129.3287</v>
      </c>
      <c r="C19" s="6">
        <v>419969501</v>
      </c>
      <c r="D19" s="8">
        <f t="shared" si="0"/>
        <v>54314109603.978699</v>
      </c>
      <c r="F19" s="5">
        <v>44567</v>
      </c>
      <c r="G19" s="6">
        <v>262.85000000000002</v>
      </c>
      <c r="H19" s="6">
        <v>285386172</v>
      </c>
      <c r="I19" s="8">
        <f t="shared" si="1"/>
        <v>75013755310.200012</v>
      </c>
      <c r="K19" s="5">
        <v>44567</v>
      </c>
      <c r="L19" s="6">
        <v>197.82740000000001</v>
      </c>
      <c r="M19" s="31">
        <v>392000000</v>
      </c>
      <c r="N19" s="32">
        <f t="shared" si="2"/>
        <v>77548340800</v>
      </c>
      <c r="P19" s="5">
        <v>44567</v>
      </c>
      <c r="Q19" s="6">
        <v>205.63149999999999</v>
      </c>
      <c r="R19" s="6">
        <v>21067618</v>
      </c>
      <c r="S19" s="8">
        <f t="shared" si="3"/>
        <v>4332165890.7670002</v>
      </c>
      <c r="U19" s="5">
        <v>44567</v>
      </c>
      <c r="V19" s="6">
        <v>27.891069999999999</v>
      </c>
      <c r="W19" s="31">
        <v>146000000</v>
      </c>
      <c r="X19" s="32">
        <f t="shared" si="4"/>
        <v>4072096220</v>
      </c>
      <c r="Z19" s="5">
        <v>44567</v>
      </c>
      <c r="AA19" s="6">
        <v>137.3312</v>
      </c>
      <c r="AB19" s="31">
        <v>290000000</v>
      </c>
      <c r="AC19" s="32">
        <f t="shared" si="5"/>
        <v>39826048000</v>
      </c>
    </row>
    <row r="20" spans="1:29" ht="14.5">
      <c r="A20" s="5">
        <v>44568</v>
      </c>
      <c r="B20" s="6">
        <v>138.42429999999999</v>
      </c>
      <c r="C20" s="6">
        <v>232450249</v>
      </c>
      <c r="D20" s="8">
        <f t="shared" si="0"/>
        <v>32176763002.650696</v>
      </c>
      <c r="F20" s="5">
        <v>44568</v>
      </c>
      <c r="G20" s="6">
        <v>313.95</v>
      </c>
      <c r="H20" s="6">
        <v>172422054</v>
      </c>
      <c r="I20" s="8">
        <f t="shared" si="1"/>
        <v>54131903853.299995</v>
      </c>
      <c r="K20" s="5">
        <v>44568</v>
      </c>
      <c r="L20" s="6">
        <v>218.839</v>
      </c>
      <c r="M20" s="31">
        <v>309000000</v>
      </c>
      <c r="N20" s="32">
        <f t="shared" si="2"/>
        <v>67621251000</v>
      </c>
      <c r="P20" s="5">
        <v>44568</v>
      </c>
      <c r="Q20" s="6">
        <v>236.0881</v>
      </c>
      <c r="R20" s="6">
        <v>26737957</v>
      </c>
      <c r="S20" s="8">
        <f t="shared" si="3"/>
        <v>6312513466.0116997</v>
      </c>
      <c r="U20" s="5">
        <v>44568</v>
      </c>
      <c r="V20" s="6">
        <v>30.974959999999999</v>
      </c>
      <c r="W20" s="31">
        <v>152000000</v>
      </c>
      <c r="X20" s="32">
        <f t="shared" si="4"/>
        <v>4708193920</v>
      </c>
      <c r="Z20" s="5">
        <v>44568</v>
      </c>
      <c r="AA20" s="6">
        <v>138.65969999999999</v>
      </c>
      <c r="AB20" s="31">
        <v>286000000</v>
      </c>
      <c r="AC20" s="32">
        <f t="shared" si="5"/>
        <v>39656674199.999992</v>
      </c>
    </row>
    <row r="21" spans="1:29" ht="14.5">
      <c r="A21" s="5">
        <v>44569</v>
      </c>
      <c r="B21" s="6">
        <v>148.4248</v>
      </c>
      <c r="C21" s="6">
        <v>329836388</v>
      </c>
      <c r="D21" s="8">
        <f t="shared" si="0"/>
        <v>48955899921.622398</v>
      </c>
      <c r="F21" s="5">
        <v>44569</v>
      </c>
      <c r="G21" s="6">
        <v>413.95</v>
      </c>
      <c r="H21" s="6">
        <v>290930880</v>
      </c>
      <c r="I21" s="8">
        <f t="shared" si="1"/>
        <v>120430837776</v>
      </c>
      <c r="K21" s="5">
        <v>44569</v>
      </c>
      <c r="L21" s="6">
        <v>233.6814</v>
      </c>
      <c r="M21" s="31">
        <v>374000000</v>
      </c>
      <c r="N21" s="32">
        <f t="shared" si="2"/>
        <v>87396843600</v>
      </c>
      <c r="P21" s="5">
        <v>44569</v>
      </c>
      <c r="Q21" s="6">
        <v>337.2475</v>
      </c>
      <c r="R21" s="6">
        <v>55756708</v>
      </c>
      <c r="S21" s="8">
        <f t="shared" si="3"/>
        <v>18803810381.23</v>
      </c>
      <c r="U21" s="5">
        <v>44569</v>
      </c>
      <c r="V21" s="6">
        <v>34.829830000000001</v>
      </c>
      <c r="W21" s="31">
        <v>265000000</v>
      </c>
      <c r="X21" s="32">
        <f t="shared" si="4"/>
        <v>9229904950</v>
      </c>
      <c r="Z21" s="5">
        <v>44569</v>
      </c>
      <c r="AA21" s="6">
        <v>148.80240000000001</v>
      </c>
      <c r="AB21" s="31">
        <v>211000000</v>
      </c>
      <c r="AC21" s="32">
        <f t="shared" si="5"/>
        <v>31397306400</v>
      </c>
    </row>
    <row r="22" spans="1:29" ht="14.5">
      <c r="A22" s="5">
        <v>44570</v>
      </c>
      <c r="B22" s="6">
        <v>147.2595</v>
      </c>
      <c r="C22" s="6">
        <v>385656944</v>
      </c>
      <c r="D22" s="8">
        <f t="shared" si="0"/>
        <v>56791648744.968002</v>
      </c>
      <c r="F22" s="5">
        <v>44570</v>
      </c>
      <c r="G22" s="6">
        <v>373.5</v>
      </c>
      <c r="H22" s="6">
        <v>61129700</v>
      </c>
      <c r="I22" s="8">
        <f t="shared" si="1"/>
        <v>22831942950</v>
      </c>
      <c r="K22" s="5">
        <v>44570</v>
      </c>
      <c r="L22" s="6">
        <v>213.51349999999999</v>
      </c>
      <c r="M22" s="31">
        <v>437000000</v>
      </c>
      <c r="N22" s="32">
        <f t="shared" si="2"/>
        <v>93305399500</v>
      </c>
      <c r="P22" s="5">
        <v>44570</v>
      </c>
      <c r="Q22" s="6">
        <v>297.00130000000001</v>
      </c>
      <c r="R22" s="6">
        <v>34077854</v>
      </c>
      <c r="S22" s="8">
        <f t="shared" si="3"/>
        <v>10121166939.210201</v>
      </c>
      <c r="U22" s="5">
        <v>44570</v>
      </c>
      <c r="V22" s="6">
        <v>32.848779999999998</v>
      </c>
      <c r="W22" s="31">
        <v>401000000</v>
      </c>
      <c r="X22" s="32">
        <f t="shared" si="4"/>
        <v>13172360780</v>
      </c>
      <c r="Z22" s="5">
        <v>44570</v>
      </c>
      <c r="AA22" s="6">
        <v>138.87620000000001</v>
      </c>
      <c r="AB22" s="31">
        <v>711000000</v>
      </c>
      <c r="AC22" s="32">
        <f t="shared" si="5"/>
        <v>98740978200.000015</v>
      </c>
    </row>
    <row r="23" spans="1:29" ht="14.5">
      <c r="A23" s="5">
        <v>44571</v>
      </c>
      <c r="B23" s="6">
        <v>159.66560000000001</v>
      </c>
      <c r="C23" s="6">
        <v>216553533</v>
      </c>
      <c r="D23" s="8">
        <f t="shared" si="0"/>
        <v>34576149778.564804</v>
      </c>
      <c r="F23" s="5">
        <v>44571</v>
      </c>
      <c r="G23" s="6">
        <v>334.9</v>
      </c>
      <c r="H23" s="6">
        <v>30452787</v>
      </c>
      <c r="I23" s="8">
        <f t="shared" si="1"/>
        <v>10198638366.299999</v>
      </c>
      <c r="K23" s="5">
        <v>44571</v>
      </c>
      <c r="L23" s="6">
        <v>222.88239999999999</v>
      </c>
      <c r="M23" s="31">
        <v>194000000</v>
      </c>
      <c r="N23" s="32">
        <f t="shared" si="2"/>
        <v>43239185600</v>
      </c>
      <c r="P23" s="5">
        <v>44571</v>
      </c>
      <c r="Q23" s="6">
        <v>333.8854</v>
      </c>
      <c r="R23" s="6">
        <v>40728981</v>
      </c>
      <c r="S23" s="8">
        <f t="shared" si="3"/>
        <v>13598812112.777401</v>
      </c>
      <c r="U23" s="5">
        <v>44571</v>
      </c>
      <c r="V23" s="6">
        <v>39.197710000000001</v>
      </c>
      <c r="W23" s="31">
        <v>473000000</v>
      </c>
      <c r="X23" s="32">
        <f t="shared" si="4"/>
        <v>18540516830</v>
      </c>
      <c r="Z23" s="5">
        <v>44571</v>
      </c>
      <c r="AA23" s="6">
        <v>149.31479999999999</v>
      </c>
      <c r="AB23" s="31">
        <v>307000000</v>
      </c>
      <c r="AC23" s="32">
        <f t="shared" si="5"/>
        <v>45839643600</v>
      </c>
    </row>
    <row r="24" spans="1:29" ht="14.5">
      <c r="A24" s="5">
        <v>44572</v>
      </c>
      <c r="B24" s="6">
        <v>158.83539999999999</v>
      </c>
      <c r="C24" s="6">
        <v>293663837</v>
      </c>
      <c r="D24" s="8">
        <f t="shared" si="0"/>
        <v>46644213015.429794</v>
      </c>
      <c r="F24" s="5">
        <v>44572</v>
      </c>
      <c r="G24" s="6">
        <v>332.75</v>
      </c>
      <c r="H24" s="6">
        <v>41035611</v>
      </c>
      <c r="I24" s="8">
        <f t="shared" si="1"/>
        <v>13654599560.25</v>
      </c>
      <c r="K24" s="5">
        <v>44572</v>
      </c>
      <c r="L24" s="6">
        <v>221.69900000000001</v>
      </c>
      <c r="M24" s="31">
        <v>186000000</v>
      </c>
      <c r="N24" s="32">
        <f t="shared" si="2"/>
        <v>41236014000</v>
      </c>
      <c r="P24" s="5">
        <v>44572</v>
      </c>
      <c r="Q24" s="6">
        <v>304.71429999999998</v>
      </c>
      <c r="R24" s="6">
        <v>20357632</v>
      </c>
      <c r="S24" s="8">
        <f t="shared" si="3"/>
        <v>6203261584.5375996</v>
      </c>
      <c r="U24" s="5">
        <v>44572</v>
      </c>
      <c r="V24" s="6">
        <v>38.691630000000004</v>
      </c>
      <c r="W24" s="31">
        <v>292000000</v>
      </c>
      <c r="X24" s="32">
        <f t="shared" si="4"/>
        <v>11297955960.000002</v>
      </c>
      <c r="Z24" s="5">
        <v>44572</v>
      </c>
      <c r="AA24" s="6">
        <v>146.59880000000001</v>
      </c>
      <c r="AB24" s="31">
        <v>240000000</v>
      </c>
      <c r="AC24" s="32">
        <f t="shared" si="5"/>
        <v>35183712000</v>
      </c>
    </row>
    <row r="25" spans="1:29" ht="14.5">
      <c r="A25" s="5">
        <v>44573</v>
      </c>
      <c r="B25" s="6">
        <v>153.5317</v>
      </c>
      <c r="C25" s="6">
        <v>182797666</v>
      </c>
      <c r="D25" s="8">
        <f t="shared" si="0"/>
        <v>28065236417.012199</v>
      </c>
      <c r="F25" s="5">
        <v>44573</v>
      </c>
      <c r="G25" s="6">
        <v>299.55</v>
      </c>
      <c r="H25" s="6">
        <v>62491391</v>
      </c>
      <c r="I25" s="8">
        <f t="shared" si="1"/>
        <v>18719296174.049999</v>
      </c>
      <c r="K25" s="5">
        <v>44573</v>
      </c>
      <c r="L25" s="6">
        <v>204.8349</v>
      </c>
      <c r="M25" s="31">
        <v>240000000</v>
      </c>
      <c r="N25" s="32">
        <f t="shared" si="2"/>
        <v>49160376000</v>
      </c>
      <c r="P25" s="5">
        <v>44573</v>
      </c>
      <c r="Q25" s="6">
        <v>284.39350000000002</v>
      </c>
      <c r="R25" s="6">
        <v>19043117</v>
      </c>
      <c r="S25" s="8">
        <f t="shared" si="3"/>
        <v>5415738694.5395002</v>
      </c>
      <c r="U25" s="5">
        <v>44573</v>
      </c>
      <c r="V25" s="6">
        <v>36.575330000000001</v>
      </c>
      <c r="W25" s="31">
        <v>245000000</v>
      </c>
      <c r="X25" s="32">
        <f t="shared" si="4"/>
        <v>8960955850</v>
      </c>
      <c r="Z25" s="5">
        <v>44573</v>
      </c>
      <c r="AA25" s="6">
        <v>143.203</v>
      </c>
      <c r="AB25" s="31">
        <v>217000000</v>
      </c>
      <c r="AC25" s="32">
        <f t="shared" si="5"/>
        <v>31075051000</v>
      </c>
    </row>
    <row r="26" spans="1:29" ht="14.5">
      <c r="A26" s="5">
        <v>44927</v>
      </c>
      <c r="B26" s="6">
        <v>157.86689999999999</v>
      </c>
      <c r="C26" s="6">
        <v>233629142</v>
      </c>
      <c r="D26" s="8">
        <f t="shared" si="0"/>
        <v>36882308397.199799</v>
      </c>
      <c r="F26" s="5">
        <v>44927</v>
      </c>
      <c r="G26" s="6">
        <v>223.8</v>
      </c>
      <c r="H26" s="6">
        <v>38223860</v>
      </c>
      <c r="I26" s="8">
        <f t="shared" si="1"/>
        <v>8554499868</v>
      </c>
      <c r="K26" s="5">
        <v>44927</v>
      </c>
      <c r="L26" s="6">
        <v>209.9631</v>
      </c>
      <c r="M26" s="31">
        <v>171000000</v>
      </c>
      <c r="N26" s="32">
        <f t="shared" si="2"/>
        <v>35903690100</v>
      </c>
      <c r="P26" s="5">
        <v>44927</v>
      </c>
      <c r="Q26" s="6">
        <v>235.6926</v>
      </c>
      <c r="R26" s="6">
        <v>11926229</v>
      </c>
      <c r="S26" s="8">
        <f t="shared" si="3"/>
        <v>2810923921.2054</v>
      </c>
      <c r="U26" s="5">
        <v>44927</v>
      </c>
      <c r="V26" s="6">
        <v>40.393889999999999</v>
      </c>
      <c r="W26" s="31">
        <v>283000000</v>
      </c>
      <c r="X26" s="32">
        <f t="shared" si="4"/>
        <v>11431470870</v>
      </c>
      <c r="Z26" s="5">
        <v>44927</v>
      </c>
      <c r="AA26" s="6">
        <v>145.1798</v>
      </c>
      <c r="AB26" s="31">
        <v>295000000</v>
      </c>
      <c r="AC26" s="32">
        <f t="shared" si="5"/>
        <v>42828041000</v>
      </c>
    </row>
    <row r="27" spans="1:29" ht="14.5">
      <c r="A27" s="5">
        <v>44928</v>
      </c>
      <c r="B27" s="6">
        <v>157.26740000000001</v>
      </c>
      <c r="C27" s="6">
        <v>240343898</v>
      </c>
      <c r="D27" s="8">
        <f t="shared" si="0"/>
        <v>37798259944.325203</v>
      </c>
      <c r="F27" s="5">
        <v>44928</v>
      </c>
      <c r="G27" s="6">
        <v>146.30000000000001</v>
      </c>
      <c r="H27" s="6">
        <v>338423583</v>
      </c>
      <c r="I27" s="8">
        <f t="shared" si="1"/>
        <v>49511370192.900002</v>
      </c>
      <c r="K27" s="5">
        <v>44928</v>
      </c>
      <c r="L27" s="6">
        <v>199.7559</v>
      </c>
      <c r="M27" s="31">
        <v>188000000</v>
      </c>
      <c r="N27" s="32">
        <f t="shared" si="2"/>
        <v>37554109200</v>
      </c>
      <c r="P27" s="5">
        <v>44928</v>
      </c>
      <c r="Q27" s="6">
        <v>232.03380000000001</v>
      </c>
      <c r="R27" s="6">
        <v>19333198</v>
      </c>
      <c r="S27" s="8">
        <f t="shared" si="3"/>
        <v>4485955398.0924006</v>
      </c>
      <c r="U27" s="5">
        <v>44928</v>
      </c>
      <c r="V27" s="6">
        <v>36.023249999999997</v>
      </c>
      <c r="W27" s="31">
        <v>151000000</v>
      </c>
      <c r="X27" s="32">
        <f t="shared" si="4"/>
        <v>5439510750</v>
      </c>
      <c r="Z27" s="5">
        <v>44928</v>
      </c>
      <c r="AA27" s="6">
        <v>148.9324</v>
      </c>
      <c r="AB27" s="31">
        <v>221000000</v>
      </c>
      <c r="AC27" s="32">
        <f t="shared" si="5"/>
        <v>32914060400</v>
      </c>
    </row>
    <row r="28" spans="1:29" ht="14.5">
      <c r="A28" s="5">
        <v>44929</v>
      </c>
      <c r="B28" s="6">
        <v>165.73060000000001</v>
      </c>
      <c r="C28" s="6">
        <v>270279744</v>
      </c>
      <c r="D28" s="8">
        <f t="shared" si="0"/>
        <v>44793624140.9664</v>
      </c>
      <c r="F28" s="5">
        <v>44929</v>
      </c>
      <c r="G28" s="6">
        <v>191.6</v>
      </c>
      <c r="H28" s="6">
        <v>314098866</v>
      </c>
      <c r="I28" s="8">
        <f t="shared" si="1"/>
        <v>60181342725.599998</v>
      </c>
      <c r="K28" s="5">
        <v>44929</v>
      </c>
      <c r="L28" s="6">
        <v>187.62559999999999</v>
      </c>
      <c r="M28" s="31">
        <v>193000000</v>
      </c>
      <c r="N28" s="32">
        <f t="shared" si="2"/>
        <v>36211740800</v>
      </c>
      <c r="P28" s="5">
        <v>44929</v>
      </c>
      <c r="Q28" s="6">
        <v>238.16470000000001</v>
      </c>
      <c r="R28" s="6">
        <v>50298588</v>
      </c>
      <c r="S28" s="8">
        <f t="shared" si="3"/>
        <v>11979348121.4436</v>
      </c>
      <c r="U28" s="5">
        <v>44929</v>
      </c>
      <c r="V28" s="6">
        <v>38.298740000000002</v>
      </c>
      <c r="W28" s="31">
        <v>210000000</v>
      </c>
      <c r="X28" s="32">
        <f t="shared" si="4"/>
        <v>8042735400</v>
      </c>
      <c r="Z28" s="5">
        <v>44929</v>
      </c>
      <c r="AA28" s="6">
        <v>154.81389999999999</v>
      </c>
      <c r="AB28" s="31">
        <v>355000000</v>
      </c>
      <c r="AC28" s="32">
        <f t="shared" si="5"/>
        <v>54958934500</v>
      </c>
    </row>
    <row r="29" spans="1:29" ht="14.5">
      <c r="A29" s="5">
        <v>44930</v>
      </c>
      <c r="B29" s="6">
        <v>162.79650000000001</v>
      </c>
      <c r="C29" s="6">
        <v>193790703</v>
      </c>
      <c r="D29" s="8">
        <f t="shared" si="0"/>
        <v>31548448180.939503</v>
      </c>
      <c r="F29" s="5">
        <v>44930</v>
      </c>
      <c r="G29" s="6">
        <v>224.85</v>
      </c>
      <c r="H29" s="6">
        <v>120204684</v>
      </c>
      <c r="I29" s="8">
        <f t="shared" si="1"/>
        <v>27028023197.399998</v>
      </c>
      <c r="K29" s="5">
        <v>44930</v>
      </c>
      <c r="L29" s="6">
        <v>198.32589999999999</v>
      </c>
      <c r="M29" s="31">
        <v>114000000</v>
      </c>
      <c r="N29" s="32">
        <f t="shared" si="2"/>
        <v>22609152600</v>
      </c>
      <c r="P29" s="5">
        <v>44930</v>
      </c>
      <c r="Q29" s="6">
        <v>257.79340000000002</v>
      </c>
      <c r="R29" s="6">
        <v>18715633</v>
      </c>
      <c r="S29" s="8">
        <f t="shared" si="3"/>
        <v>4824766664.2222004</v>
      </c>
      <c r="U29" s="5">
        <v>44930</v>
      </c>
      <c r="V29" s="6">
        <v>42.157200000000003</v>
      </c>
      <c r="W29" s="31">
        <v>202000000</v>
      </c>
      <c r="X29" s="32">
        <f t="shared" si="4"/>
        <v>8515754400.000001</v>
      </c>
      <c r="Z29" s="5">
        <v>44930</v>
      </c>
      <c r="AA29" s="6">
        <v>162.7364</v>
      </c>
      <c r="AB29" s="31">
        <v>158000000</v>
      </c>
      <c r="AC29" s="32">
        <f t="shared" si="5"/>
        <v>25712351200</v>
      </c>
    </row>
    <row r="30" spans="1:29" ht="14.5">
      <c r="A30" s="5">
        <v>44931</v>
      </c>
      <c r="B30" s="6">
        <v>164.54750000000001</v>
      </c>
      <c r="C30" s="6">
        <v>214851567</v>
      </c>
      <c r="D30" s="8">
        <f t="shared" si="0"/>
        <v>35353288220.932503</v>
      </c>
      <c r="F30" s="5">
        <v>44931</v>
      </c>
      <c r="G30" s="6">
        <v>249.65</v>
      </c>
      <c r="H30" s="6">
        <v>154685146</v>
      </c>
      <c r="I30" s="8">
        <f t="shared" si="1"/>
        <v>38617146698.900002</v>
      </c>
      <c r="K30" s="5">
        <v>44931</v>
      </c>
      <c r="L30" s="6">
        <v>210.60419999999999</v>
      </c>
      <c r="M30" s="31">
        <v>198000000</v>
      </c>
      <c r="N30" s="32">
        <f t="shared" si="2"/>
        <v>41699631600</v>
      </c>
      <c r="P30" s="5">
        <v>44931</v>
      </c>
      <c r="Q30" s="6">
        <v>251.2175</v>
      </c>
      <c r="R30" s="6">
        <v>27345666</v>
      </c>
      <c r="S30" s="8">
        <f t="shared" si="3"/>
        <v>6869709848.3550005</v>
      </c>
      <c r="U30" s="5">
        <v>44931</v>
      </c>
      <c r="V30" s="6">
        <v>41.395040000000002</v>
      </c>
      <c r="W30" s="31">
        <v>181000000</v>
      </c>
      <c r="X30" s="32">
        <f t="shared" si="4"/>
        <v>7492502240</v>
      </c>
      <c r="Z30" s="5">
        <v>44931</v>
      </c>
      <c r="AA30" s="6">
        <v>160.4042</v>
      </c>
      <c r="AB30" s="31">
        <v>263000000</v>
      </c>
      <c r="AC30" s="32">
        <f t="shared" si="5"/>
        <v>42186304600</v>
      </c>
    </row>
    <row r="31" spans="1:29" ht="14.5">
      <c r="A31" s="5">
        <v>44932</v>
      </c>
      <c r="B31" s="6">
        <v>179.02879999999999</v>
      </c>
      <c r="C31" s="6">
        <v>234449078</v>
      </c>
      <c r="D31" s="8">
        <f t="shared" si="0"/>
        <v>41973137095.446396</v>
      </c>
      <c r="F31" s="5">
        <v>44932</v>
      </c>
      <c r="G31" s="6">
        <v>249.85</v>
      </c>
      <c r="H31" s="6">
        <v>106517001</v>
      </c>
      <c r="I31" s="8">
        <f t="shared" si="1"/>
        <v>26613272699.849998</v>
      </c>
      <c r="K31" s="5">
        <v>44932</v>
      </c>
      <c r="L31" s="6">
        <v>218.78970000000001</v>
      </c>
      <c r="M31" s="31">
        <v>191000000</v>
      </c>
      <c r="N31" s="32">
        <f t="shared" si="2"/>
        <v>41788832700</v>
      </c>
      <c r="P31" s="5">
        <v>44932</v>
      </c>
      <c r="Q31" s="6">
        <v>269.709</v>
      </c>
      <c r="R31" s="6">
        <v>59749871</v>
      </c>
      <c r="S31" s="8">
        <f t="shared" si="3"/>
        <v>16115077957.539</v>
      </c>
      <c r="U31" s="5">
        <v>44932</v>
      </c>
      <c r="V31" s="6">
        <v>43.776800000000001</v>
      </c>
      <c r="W31" s="31">
        <v>334000000</v>
      </c>
      <c r="X31" s="32">
        <f t="shared" si="4"/>
        <v>14621451200</v>
      </c>
      <c r="Z31" s="5">
        <v>44932</v>
      </c>
      <c r="AA31" s="6">
        <v>175.0145</v>
      </c>
      <c r="AB31" s="31">
        <v>258000000</v>
      </c>
      <c r="AC31" s="32">
        <f t="shared" si="5"/>
        <v>45153741000</v>
      </c>
    </row>
    <row r="32" spans="1:29" ht="14.5">
      <c r="A32" s="5">
        <v>44933</v>
      </c>
      <c r="B32" s="6">
        <v>206.66640000000001</v>
      </c>
      <c r="C32" s="6">
        <v>318719129</v>
      </c>
      <c r="D32" s="8">
        <f t="shared" si="0"/>
        <v>65868535001.565605</v>
      </c>
      <c r="F32" s="5">
        <v>44933</v>
      </c>
      <c r="G32" s="6">
        <v>273.3</v>
      </c>
      <c r="H32" s="6">
        <v>97365636</v>
      </c>
      <c r="I32" s="8">
        <f t="shared" si="1"/>
        <v>26610028318.799999</v>
      </c>
      <c r="K32" s="5">
        <v>44933</v>
      </c>
      <c r="L32" s="6">
        <v>235.6088</v>
      </c>
      <c r="M32" s="31">
        <v>249000000</v>
      </c>
      <c r="N32" s="32">
        <f t="shared" si="2"/>
        <v>58666591200</v>
      </c>
      <c r="P32" s="5">
        <v>44933</v>
      </c>
      <c r="Q32" s="6">
        <v>287.75189999999998</v>
      </c>
      <c r="R32" s="6">
        <v>87860163</v>
      </c>
      <c r="S32" s="8">
        <f t="shared" si="3"/>
        <v>25281928837.559696</v>
      </c>
      <c r="U32" s="5">
        <v>44933</v>
      </c>
      <c r="V32" s="6">
        <v>49.064309999999999</v>
      </c>
      <c r="W32" s="31">
        <v>502000000</v>
      </c>
      <c r="X32" s="32">
        <f t="shared" si="4"/>
        <v>24630283620</v>
      </c>
      <c r="Z32" s="5">
        <v>44933</v>
      </c>
      <c r="AA32" s="6">
        <v>182.49109999999999</v>
      </c>
      <c r="AB32" s="31">
        <v>360000000</v>
      </c>
      <c r="AC32" s="32">
        <f t="shared" si="5"/>
        <v>65696795999.999992</v>
      </c>
    </row>
    <row r="33" spans="1:29" ht="14.5">
      <c r="A33" s="5">
        <v>44934</v>
      </c>
      <c r="B33" s="6">
        <v>208.512</v>
      </c>
      <c r="C33" s="6">
        <v>333629942</v>
      </c>
      <c r="D33" s="8">
        <f t="shared" si="0"/>
        <v>69565846466.304001</v>
      </c>
      <c r="F33" s="5">
        <v>44934</v>
      </c>
      <c r="G33" s="6">
        <v>321.3</v>
      </c>
      <c r="H33" s="6">
        <v>443247992</v>
      </c>
      <c r="I33" s="8">
        <f t="shared" si="1"/>
        <v>142415579829.60001</v>
      </c>
      <c r="K33" s="5">
        <v>44934</v>
      </c>
      <c r="L33" s="6">
        <v>243.9701</v>
      </c>
      <c r="M33" s="31">
        <v>297000000</v>
      </c>
      <c r="N33" s="32">
        <f t="shared" si="2"/>
        <v>72459119700</v>
      </c>
      <c r="P33" s="5">
        <v>44934</v>
      </c>
      <c r="Q33" s="6">
        <v>349.79750000000001</v>
      </c>
      <c r="R33" s="31">
        <v>126000000</v>
      </c>
      <c r="S33" s="32">
        <f t="shared" si="3"/>
        <v>44074485000</v>
      </c>
      <c r="U33" s="5">
        <v>44934</v>
      </c>
      <c r="V33" s="6">
        <v>47.825800000000001</v>
      </c>
      <c r="W33" s="31">
        <v>300000000</v>
      </c>
      <c r="X33" s="32">
        <f t="shared" si="4"/>
        <v>14347740000</v>
      </c>
      <c r="Z33" s="5">
        <v>44934</v>
      </c>
      <c r="AA33" s="6">
        <v>167.74369999999999</v>
      </c>
      <c r="AB33" s="31">
        <v>303000000</v>
      </c>
      <c r="AC33" s="32">
        <f t="shared" si="5"/>
        <v>50826341100</v>
      </c>
    </row>
    <row r="34" spans="1:29" ht="14.5">
      <c r="A34" s="5">
        <v>44935</v>
      </c>
      <c r="B34" s="6">
        <v>235.66290000000001</v>
      </c>
      <c r="C34" s="6">
        <v>357767631</v>
      </c>
      <c r="D34" s="8">
        <f t="shared" si="0"/>
        <v>84312557447.589905</v>
      </c>
      <c r="F34" s="5">
        <v>44935</v>
      </c>
      <c r="G34" s="6">
        <v>377.45</v>
      </c>
      <c r="H34" s="6">
        <v>398846024</v>
      </c>
      <c r="I34" s="8">
        <f t="shared" si="1"/>
        <v>150544431758.79999</v>
      </c>
      <c r="K34" s="5">
        <v>44935</v>
      </c>
      <c r="L34" s="6">
        <v>261.0908</v>
      </c>
      <c r="M34" s="31">
        <v>283000000</v>
      </c>
      <c r="N34" s="32">
        <f t="shared" si="2"/>
        <v>73888696400</v>
      </c>
      <c r="P34" s="5">
        <v>44935</v>
      </c>
      <c r="Q34" s="6">
        <v>435.96350000000001</v>
      </c>
      <c r="R34" s="31">
        <v>126000000</v>
      </c>
      <c r="S34" s="32">
        <f t="shared" si="3"/>
        <v>54931401000</v>
      </c>
      <c r="U34" s="5">
        <v>44935</v>
      </c>
      <c r="V34" s="6">
        <v>50.758749999999999</v>
      </c>
      <c r="W34" s="31">
        <v>1000000000</v>
      </c>
      <c r="X34" s="32">
        <f t="shared" si="4"/>
        <v>50758750000</v>
      </c>
      <c r="Z34" s="5">
        <v>44935</v>
      </c>
      <c r="AA34" s="6">
        <v>186.25360000000001</v>
      </c>
      <c r="AB34" s="31">
        <v>358000000</v>
      </c>
      <c r="AC34" s="32">
        <f t="shared" si="5"/>
        <v>66678788800</v>
      </c>
    </row>
    <row r="35" spans="1:29" ht="14.5">
      <c r="A35" s="5">
        <v>44936</v>
      </c>
      <c r="B35" s="6">
        <v>226.30549999999999</v>
      </c>
      <c r="C35" s="6">
        <v>252163858</v>
      </c>
      <c r="D35" s="8">
        <f t="shared" si="0"/>
        <v>57066067966.618996</v>
      </c>
      <c r="F35" s="5">
        <v>44936</v>
      </c>
      <c r="G35" s="6">
        <v>363.05</v>
      </c>
      <c r="H35" s="6">
        <v>110908631</v>
      </c>
      <c r="I35" s="8">
        <f t="shared" si="1"/>
        <v>40265378484.550003</v>
      </c>
      <c r="K35" s="5">
        <v>44936</v>
      </c>
      <c r="L35" s="6">
        <v>238.2466</v>
      </c>
      <c r="M35" s="31">
        <v>142000000</v>
      </c>
      <c r="N35" s="32">
        <f t="shared" si="2"/>
        <v>33831017200</v>
      </c>
      <c r="P35" s="5">
        <v>44936</v>
      </c>
      <c r="Q35" s="6">
        <v>384.53300000000002</v>
      </c>
      <c r="R35" s="31">
        <v>124000000</v>
      </c>
      <c r="S35" s="32">
        <f t="shared" si="3"/>
        <v>47682092000</v>
      </c>
      <c r="U35" s="5">
        <v>44936</v>
      </c>
      <c r="V35" s="6">
        <v>48.259270000000001</v>
      </c>
      <c r="W35" s="31">
        <v>360000000</v>
      </c>
      <c r="X35" s="32">
        <f t="shared" si="4"/>
        <v>17373337200</v>
      </c>
      <c r="Z35" s="5">
        <v>44936</v>
      </c>
      <c r="AA35" s="6">
        <v>188.4914</v>
      </c>
      <c r="AB35" s="31">
        <v>261000000</v>
      </c>
      <c r="AC35" s="32">
        <f t="shared" si="5"/>
        <v>49196255400</v>
      </c>
    </row>
    <row r="36" spans="1:29" ht="14.5">
      <c r="A36" s="5">
        <v>44937</v>
      </c>
      <c r="B36" s="6">
        <v>250.77869999999999</v>
      </c>
      <c r="C36" s="6">
        <v>193056560</v>
      </c>
      <c r="D36" s="8">
        <f t="shared" si="0"/>
        <v>48414473143.271996</v>
      </c>
      <c r="F36" s="5">
        <v>44937</v>
      </c>
      <c r="G36" s="6">
        <v>431.5</v>
      </c>
      <c r="H36" s="6">
        <v>363220077</v>
      </c>
      <c r="I36" s="8">
        <f t="shared" si="1"/>
        <v>156729463225.5</v>
      </c>
      <c r="K36" s="5">
        <v>44937</v>
      </c>
      <c r="L36" s="6">
        <v>266.66500000000002</v>
      </c>
      <c r="M36" s="31">
        <v>210000000</v>
      </c>
      <c r="N36" s="32">
        <f t="shared" si="2"/>
        <v>55999650000.000008</v>
      </c>
      <c r="P36" s="5">
        <v>44937</v>
      </c>
      <c r="Q36" s="6">
        <v>407.00889999999998</v>
      </c>
      <c r="R36" s="6">
        <v>70444998</v>
      </c>
      <c r="S36" s="8">
        <f t="shared" si="3"/>
        <v>28671741146.482201</v>
      </c>
      <c r="U36" s="5">
        <v>44937</v>
      </c>
      <c r="V36" s="6">
        <v>52.296889999999998</v>
      </c>
      <c r="W36" s="31">
        <v>359000000</v>
      </c>
      <c r="X36" s="32">
        <f t="shared" si="4"/>
        <v>18774583510</v>
      </c>
      <c r="Z36" s="5">
        <v>44937</v>
      </c>
      <c r="AA36" s="6">
        <v>194.83189999999999</v>
      </c>
      <c r="AB36" s="31">
        <v>294000000</v>
      </c>
      <c r="AC36" s="32">
        <f t="shared" si="5"/>
        <v>57280578600</v>
      </c>
    </row>
    <row r="37" spans="1:29" ht="14.5">
      <c r="A37" s="5">
        <v>44938</v>
      </c>
      <c r="B37" s="6">
        <v>301.5052</v>
      </c>
      <c r="C37" s="6">
        <v>380273668</v>
      </c>
      <c r="D37" s="8">
        <f t="shared" si="0"/>
        <v>114654488325.07361</v>
      </c>
      <c r="F37" s="5">
        <v>44938</v>
      </c>
      <c r="G37" s="6">
        <v>525.15</v>
      </c>
      <c r="H37" s="6">
        <v>220405056</v>
      </c>
      <c r="I37" s="8">
        <f t="shared" si="1"/>
        <v>115745715158.39999</v>
      </c>
      <c r="K37" s="5">
        <v>44938</v>
      </c>
      <c r="L37" s="6">
        <v>330.61880000000002</v>
      </c>
      <c r="M37" s="31">
        <v>653000000</v>
      </c>
      <c r="N37" s="32">
        <f t="shared" si="2"/>
        <v>215894076400</v>
      </c>
      <c r="P37" s="5">
        <v>44938</v>
      </c>
      <c r="Q37" s="6">
        <v>407.70659999999998</v>
      </c>
      <c r="R37" s="6">
        <v>82027143</v>
      </c>
      <c r="S37" s="8">
        <f t="shared" si="3"/>
        <v>33443007580.243797</v>
      </c>
      <c r="U37" s="5">
        <v>44938</v>
      </c>
      <c r="V37" s="6">
        <v>62.102559999999997</v>
      </c>
      <c r="W37" s="31">
        <v>713000000</v>
      </c>
      <c r="X37" s="32">
        <f t="shared" si="4"/>
        <v>44279125280</v>
      </c>
      <c r="Z37" s="5">
        <v>44938</v>
      </c>
      <c r="AA37" s="6">
        <v>225.46469999999999</v>
      </c>
      <c r="AB37" s="31">
        <v>456000000</v>
      </c>
      <c r="AC37" s="32">
        <f t="shared" si="5"/>
        <v>102811903200</v>
      </c>
    </row>
    <row r="38" spans="1:29" ht="14.5">
      <c r="A38" s="5">
        <v>45292</v>
      </c>
      <c r="B38" s="6">
        <v>307.65839999999997</v>
      </c>
      <c r="C38" s="6">
        <v>401932243</v>
      </c>
      <c r="D38" s="8">
        <f t="shared" si="0"/>
        <v>123657830789.79118</v>
      </c>
      <c r="F38" s="5">
        <v>45292</v>
      </c>
      <c r="G38" s="6">
        <v>562.70000000000005</v>
      </c>
      <c r="H38" s="6">
        <v>83679142</v>
      </c>
      <c r="I38" s="8">
        <f t="shared" si="1"/>
        <v>47086253203.400002</v>
      </c>
      <c r="K38" s="5">
        <v>45292</v>
      </c>
      <c r="L38" s="6">
        <v>387.95330000000001</v>
      </c>
      <c r="M38" s="31">
        <v>416000000</v>
      </c>
      <c r="N38" s="32">
        <f t="shared" si="2"/>
        <v>161388572800</v>
      </c>
      <c r="P38" s="5">
        <v>45292</v>
      </c>
      <c r="Q38" s="6">
        <v>503.09230000000002</v>
      </c>
      <c r="R38" s="6">
        <v>94772148</v>
      </c>
      <c r="S38" s="8">
        <f t="shared" si="3"/>
        <v>47679137913.260399</v>
      </c>
      <c r="U38" s="5">
        <v>45292</v>
      </c>
      <c r="V38" s="6">
        <v>87.433859999999996</v>
      </c>
      <c r="W38" s="31">
        <v>2060000000</v>
      </c>
      <c r="X38" s="32">
        <f t="shared" si="4"/>
        <v>180113751600</v>
      </c>
      <c r="Z38" s="5">
        <v>45292</v>
      </c>
      <c r="AA38" s="6">
        <v>246.47130000000001</v>
      </c>
      <c r="AB38" s="31">
        <v>362000000</v>
      </c>
      <c r="AC38" s="32">
        <f t="shared" si="5"/>
        <v>89222610600</v>
      </c>
    </row>
    <row r="39" spans="1:29" ht="14.5">
      <c r="A39" s="5">
        <v>45293</v>
      </c>
      <c r="B39" s="6">
        <v>325.19740000000002</v>
      </c>
      <c r="C39" s="6">
        <v>329750791</v>
      </c>
      <c r="D39" s="8">
        <f t="shared" si="0"/>
        <v>107234099881.1434</v>
      </c>
      <c r="F39" s="5">
        <v>45293</v>
      </c>
      <c r="G39" s="6">
        <v>549.95000000000005</v>
      </c>
      <c r="H39" s="6">
        <v>29557280</v>
      </c>
      <c r="I39" s="8">
        <f t="shared" si="1"/>
        <v>16255026136.000002</v>
      </c>
      <c r="K39" s="5">
        <v>45293</v>
      </c>
      <c r="L39" s="6">
        <v>370.03629999999998</v>
      </c>
      <c r="M39" s="31">
        <v>326000000</v>
      </c>
      <c r="N39" s="32">
        <f t="shared" si="2"/>
        <v>120631833800</v>
      </c>
      <c r="P39" s="5">
        <v>45293</v>
      </c>
      <c r="Q39" s="6">
        <v>506.63069999999999</v>
      </c>
      <c r="R39" s="6">
        <v>83239791</v>
      </c>
      <c r="S39" s="8">
        <f t="shared" si="3"/>
        <v>42171833582.183701</v>
      </c>
      <c r="U39" s="5">
        <v>45293</v>
      </c>
      <c r="V39" s="6">
        <v>84.74212</v>
      </c>
      <c r="W39" s="31">
        <v>4580000000</v>
      </c>
      <c r="X39" s="32">
        <f t="shared" si="4"/>
        <v>388118909600</v>
      </c>
      <c r="Z39" s="5">
        <v>45293</v>
      </c>
      <c r="AA39" s="6">
        <v>268.8562</v>
      </c>
      <c r="AB39" s="31">
        <v>590000000</v>
      </c>
      <c r="AC39" s="32">
        <f t="shared" si="5"/>
        <v>158625158000</v>
      </c>
    </row>
    <row r="40" spans="1:29" ht="14.5">
      <c r="A40" s="5">
        <v>45294</v>
      </c>
      <c r="B40" s="6">
        <v>328.56830000000002</v>
      </c>
      <c r="C40" s="6">
        <v>348955255</v>
      </c>
      <c r="D40" s="8">
        <f t="shared" si="0"/>
        <v>114655634911.4165</v>
      </c>
      <c r="F40" s="5">
        <v>45294</v>
      </c>
      <c r="G40" s="6">
        <v>533.79999999999995</v>
      </c>
      <c r="H40" s="6">
        <v>39391666</v>
      </c>
      <c r="I40" s="8">
        <f t="shared" si="1"/>
        <v>21027271310.799999</v>
      </c>
      <c r="K40" s="5">
        <v>45294</v>
      </c>
      <c r="L40" s="6">
        <v>392.38279999999997</v>
      </c>
      <c r="M40" s="31">
        <v>447000000</v>
      </c>
      <c r="N40" s="32">
        <f t="shared" si="2"/>
        <v>175395111600</v>
      </c>
      <c r="P40" s="5">
        <v>45294</v>
      </c>
      <c r="Q40" s="6">
        <v>527.16309999999999</v>
      </c>
      <c r="R40" s="6">
        <v>58528022</v>
      </c>
      <c r="S40" s="8">
        <f t="shared" si="3"/>
        <v>30853813514.388199</v>
      </c>
      <c r="U40" s="5">
        <v>45294</v>
      </c>
      <c r="V40" s="6">
        <v>87.555210000000002</v>
      </c>
      <c r="W40" s="31">
        <v>1780000000</v>
      </c>
      <c r="X40" s="32">
        <f t="shared" si="4"/>
        <v>155848273800</v>
      </c>
      <c r="Z40" s="5">
        <v>45294</v>
      </c>
      <c r="AA40" s="6">
        <v>267.60109999999997</v>
      </c>
      <c r="AB40" s="31">
        <v>391000000</v>
      </c>
      <c r="AC40" s="32">
        <f t="shared" si="5"/>
        <v>104632030099.99998</v>
      </c>
    </row>
    <row r="41" spans="1:29" ht="14.5">
      <c r="A41" s="5">
        <v>45295</v>
      </c>
      <c r="B41" s="6">
        <v>355.37819999999999</v>
      </c>
      <c r="C41" s="6">
        <v>336972426</v>
      </c>
      <c r="D41" s="8">
        <f t="shared" si="0"/>
        <v>119752654201.5132</v>
      </c>
      <c r="F41" s="5">
        <v>45295</v>
      </c>
      <c r="G41" s="6">
        <v>612.45000000000005</v>
      </c>
      <c r="H41" s="6">
        <v>66131839</v>
      </c>
      <c r="I41" s="8">
        <f t="shared" si="1"/>
        <v>40502444795.550003</v>
      </c>
      <c r="K41" s="5">
        <v>45295</v>
      </c>
      <c r="L41" s="6">
        <v>447.17899999999997</v>
      </c>
      <c r="M41" s="31">
        <v>337000000</v>
      </c>
      <c r="N41" s="32">
        <f t="shared" si="2"/>
        <v>150699323000</v>
      </c>
      <c r="P41" s="5">
        <v>45295</v>
      </c>
      <c r="Q41" s="6">
        <v>627.48249999999996</v>
      </c>
      <c r="R41" s="6">
        <v>95766665</v>
      </c>
      <c r="S41" s="8">
        <f t="shared" si="3"/>
        <v>60091906370.862495</v>
      </c>
      <c r="U41" s="5">
        <v>45295</v>
      </c>
      <c r="V41" s="6">
        <v>93.899780000000007</v>
      </c>
      <c r="W41" s="31">
        <v>1190000000</v>
      </c>
      <c r="X41" s="32">
        <f t="shared" si="4"/>
        <v>111740738200.00002</v>
      </c>
      <c r="Z41" s="5">
        <v>45295</v>
      </c>
      <c r="AA41" s="6">
        <v>291.71319999999997</v>
      </c>
      <c r="AB41" s="31">
        <v>336000000</v>
      </c>
      <c r="AC41" s="32">
        <f t="shared" si="5"/>
        <v>98015635199.999985</v>
      </c>
    </row>
    <row r="42" spans="1:29" ht="14.5">
      <c r="A42" s="5">
        <v>45296</v>
      </c>
      <c r="B42" s="6">
        <v>351.26859999999999</v>
      </c>
      <c r="C42" s="6">
        <v>312027267</v>
      </c>
      <c r="D42" s="8">
        <f t="shared" si="0"/>
        <v>109605381240.9162</v>
      </c>
      <c r="F42" s="5">
        <v>45296</v>
      </c>
      <c r="G42" s="6">
        <v>755.8</v>
      </c>
      <c r="H42" s="6">
        <v>165504590</v>
      </c>
      <c r="I42" s="8">
        <f t="shared" si="1"/>
        <v>125088369122</v>
      </c>
      <c r="K42" s="5">
        <v>45296</v>
      </c>
      <c r="L42" s="6">
        <v>434.73660000000001</v>
      </c>
      <c r="M42" s="31">
        <v>299000000</v>
      </c>
      <c r="N42" s="32">
        <f t="shared" si="2"/>
        <v>129986243400</v>
      </c>
      <c r="P42" s="5">
        <v>45296</v>
      </c>
      <c r="Q42" s="6">
        <v>610.98689999999999</v>
      </c>
      <c r="R42" s="31">
        <v>156000000</v>
      </c>
      <c r="S42" s="32">
        <f t="shared" si="3"/>
        <v>95313956400</v>
      </c>
      <c r="U42" s="5">
        <v>45296</v>
      </c>
      <c r="V42" s="6">
        <v>104.68559999999999</v>
      </c>
      <c r="W42" s="31">
        <v>2770000000</v>
      </c>
      <c r="X42" s="32">
        <f t="shared" si="4"/>
        <v>289979112000</v>
      </c>
      <c r="Z42" s="5">
        <v>45296</v>
      </c>
      <c r="AA42" s="6">
        <v>299.58949999999999</v>
      </c>
      <c r="AB42" s="31">
        <v>390000000</v>
      </c>
      <c r="AC42" s="32">
        <f t="shared" si="5"/>
        <v>116839905000</v>
      </c>
    </row>
    <row r="43" spans="1:29" ht="14.5">
      <c r="A43" s="5">
        <v>45297</v>
      </c>
      <c r="B43" s="6">
        <v>370.202</v>
      </c>
      <c r="C43" s="6">
        <v>459402156</v>
      </c>
      <c r="D43" s="8">
        <f t="shared" si="0"/>
        <v>170071596955.51199</v>
      </c>
      <c r="F43" s="5">
        <v>45297</v>
      </c>
      <c r="G43" s="6">
        <v>718.6</v>
      </c>
      <c r="H43" s="6">
        <v>274331570</v>
      </c>
      <c r="I43" s="8">
        <f t="shared" si="1"/>
        <v>197134666202</v>
      </c>
      <c r="K43" s="5">
        <v>45297</v>
      </c>
      <c r="L43" s="6">
        <v>438.56889999999999</v>
      </c>
      <c r="M43" s="31">
        <v>290000000</v>
      </c>
      <c r="N43" s="32">
        <f t="shared" si="2"/>
        <v>127184981000</v>
      </c>
      <c r="P43" s="5">
        <v>45297</v>
      </c>
      <c r="Q43" s="6">
        <v>734.5</v>
      </c>
      <c r="R43" s="6">
        <v>81112281</v>
      </c>
      <c r="S43" s="8">
        <f t="shared" si="3"/>
        <v>59576970394.5</v>
      </c>
      <c r="U43" s="5">
        <v>45297</v>
      </c>
      <c r="V43" s="6">
        <v>98.292180000000002</v>
      </c>
      <c r="W43" s="31">
        <v>1410000000</v>
      </c>
      <c r="X43" s="32">
        <f t="shared" si="4"/>
        <v>138591973800</v>
      </c>
      <c r="Z43" s="5">
        <v>45297</v>
      </c>
      <c r="AA43" s="6">
        <v>319.83589999999998</v>
      </c>
      <c r="AB43" s="31">
        <v>491000000</v>
      </c>
      <c r="AC43" s="32">
        <f t="shared" si="5"/>
        <v>157039426900</v>
      </c>
    </row>
    <row r="44" spans="1:29" ht="14.5">
      <c r="A44" s="5">
        <v>45298</v>
      </c>
      <c r="B44" s="6">
        <v>407.0412</v>
      </c>
      <c r="C44" s="6">
        <v>455786989</v>
      </c>
      <c r="D44" s="8">
        <f t="shared" si="0"/>
        <v>185524082946.94681</v>
      </c>
      <c r="F44" s="5">
        <v>45298</v>
      </c>
      <c r="G44" s="6">
        <v>734.45</v>
      </c>
      <c r="H44" s="6">
        <v>94532191</v>
      </c>
      <c r="I44" s="8">
        <f t="shared" si="1"/>
        <v>69429167679.949997</v>
      </c>
      <c r="K44" s="5">
        <v>45298</v>
      </c>
      <c r="L44" s="6">
        <v>451.50900000000001</v>
      </c>
      <c r="M44" s="31">
        <v>258000000</v>
      </c>
      <c r="N44" s="32">
        <f t="shared" si="2"/>
        <v>116489322000</v>
      </c>
      <c r="P44" s="5">
        <v>45298</v>
      </c>
      <c r="Q44" s="6">
        <v>728</v>
      </c>
      <c r="R44" s="6">
        <v>58152142</v>
      </c>
      <c r="S44" s="8">
        <f t="shared" si="3"/>
        <v>42334759376</v>
      </c>
      <c r="U44" s="5">
        <v>45298</v>
      </c>
      <c r="V44" s="6">
        <v>102.5284</v>
      </c>
      <c r="W44" s="31">
        <v>1710000000</v>
      </c>
      <c r="X44" s="32">
        <f t="shared" si="4"/>
        <v>175323564000</v>
      </c>
      <c r="Z44" s="5">
        <v>45298</v>
      </c>
      <c r="AA44" s="6">
        <v>336.50670000000002</v>
      </c>
      <c r="AB44" s="31">
        <v>296000000</v>
      </c>
      <c r="AC44" s="32">
        <f t="shared" si="5"/>
        <v>99605983200</v>
      </c>
    </row>
    <row r="45" spans="1:29" ht="14.5">
      <c r="A45" s="5">
        <v>45299</v>
      </c>
      <c r="B45" s="6">
        <v>407.23680000000002</v>
      </c>
      <c r="C45" s="6">
        <v>349830988</v>
      </c>
      <c r="D45" s="8">
        <f t="shared" si="0"/>
        <v>142464052093.9584</v>
      </c>
      <c r="F45" s="5">
        <v>45299</v>
      </c>
      <c r="G45" s="6">
        <v>632.04999999999995</v>
      </c>
      <c r="H45" s="6">
        <v>235148453</v>
      </c>
      <c r="I45" s="8">
        <f t="shared" si="1"/>
        <v>148625579718.64999</v>
      </c>
      <c r="K45" s="5">
        <v>45299</v>
      </c>
      <c r="L45" s="6">
        <v>434.65</v>
      </c>
      <c r="M45" s="31">
        <v>321000000</v>
      </c>
      <c r="N45" s="32">
        <f t="shared" si="2"/>
        <v>139522650000</v>
      </c>
      <c r="P45" s="5">
        <v>45299</v>
      </c>
      <c r="Q45" s="6">
        <v>711.15</v>
      </c>
      <c r="R45" s="6">
        <v>46521673</v>
      </c>
      <c r="S45" s="8">
        <f t="shared" si="3"/>
        <v>33083887753.950001</v>
      </c>
      <c r="U45" s="5">
        <v>45299</v>
      </c>
      <c r="V45" s="6">
        <v>93.821700000000007</v>
      </c>
      <c r="W45" s="31">
        <v>599000000</v>
      </c>
      <c r="X45" s="32">
        <f t="shared" si="4"/>
        <v>56199198300.000008</v>
      </c>
      <c r="Z45" s="5">
        <v>45299</v>
      </c>
      <c r="AA45" s="6">
        <v>326.06939999999997</v>
      </c>
      <c r="AB45" s="31">
        <v>266000000</v>
      </c>
      <c r="AC45" s="32">
        <f t="shared" si="5"/>
        <v>86734460400</v>
      </c>
    </row>
    <row r="46" spans="1:29" ht="14.5">
      <c r="A46" s="5">
        <v>45300</v>
      </c>
      <c r="B46" s="6">
        <v>437.07830000000001</v>
      </c>
      <c r="C46" s="6">
        <v>410439502</v>
      </c>
      <c r="D46" s="8">
        <f t="shared" si="0"/>
        <v>179394199787.00659</v>
      </c>
      <c r="F46" s="5">
        <v>45300</v>
      </c>
      <c r="G46" s="6">
        <v>656.15</v>
      </c>
      <c r="H46" s="6">
        <v>87071173</v>
      </c>
      <c r="I46" s="8">
        <f t="shared" si="1"/>
        <v>57131750163.949997</v>
      </c>
      <c r="K46" s="5">
        <v>45300</v>
      </c>
      <c r="L46" s="6">
        <v>482.6</v>
      </c>
      <c r="M46" s="31">
        <v>343000000</v>
      </c>
      <c r="N46" s="32">
        <f t="shared" si="2"/>
        <v>165531800000</v>
      </c>
      <c r="P46" s="5">
        <v>45300</v>
      </c>
      <c r="Q46" s="6">
        <v>733.05</v>
      </c>
      <c r="R46" s="6">
        <v>68520683</v>
      </c>
      <c r="S46" s="8">
        <f t="shared" si="3"/>
        <v>50229086673.149994</v>
      </c>
      <c r="U46" s="5">
        <v>45300</v>
      </c>
      <c r="V46" s="6">
        <v>93.15607</v>
      </c>
      <c r="W46" s="31">
        <v>479000000</v>
      </c>
      <c r="X46" s="32">
        <f t="shared" si="4"/>
        <v>44621757530</v>
      </c>
      <c r="Z46" s="5">
        <v>45300</v>
      </c>
      <c r="AA46" s="6">
        <v>343.83569999999997</v>
      </c>
      <c r="AB46" s="31">
        <v>347000000</v>
      </c>
      <c r="AC46" s="32">
        <f t="shared" si="5"/>
        <v>119310987899.99998</v>
      </c>
    </row>
    <row r="47" spans="1:29" ht="14.5">
      <c r="A47" s="5">
        <v>45301</v>
      </c>
      <c r="B47" s="6">
        <v>402.51240000000001</v>
      </c>
      <c r="C47" s="6">
        <v>304737058</v>
      </c>
      <c r="D47" s="8">
        <f t="shared" si="0"/>
        <v>122660444584.51921</v>
      </c>
      <c r="F47" s="5">
        <v>45301</v>
      </c>
      <c r="G47" s="6">
        <v>592.70000000000005</v>
      </c>
      <c r="H47" s="6">
        <v>50121795</v>
      </c>
      <c r="I47" s="8">
        <f t="shared" si="1"/>
        <v>29707187896.500004</v>
      </c>
      <c r="K47" s="5">
        <v>45301</v>
      </c>
      <c r="L47" s="6">
        <v>440.05</v>
      </c>
      <c r="M47" s="31">
        <v>299000000</v>
      </c>
      <c r="N47" s="32">
        <f t="shared" si="2"/>
        <v>131574950000</v>
      </c>
      <c r="P47" s="5">
        <v>45301</v>
      </c>
      <c r="Q47" s="6">
        <v>679.15</v>
      </c>
      <c r="R47" s="6">
        <v>47063480</v>
      </c>
      <c r="S47" s="8">
        <f t="shared" si="3"/>
        <v>31963162442</v>
      </c>
      <c r="U47" s="5">
        <v>45301</v>
      </c>
      <c r="V47" s="6">
        <v>81.039410000000004</v>
      </c>
      <c r="W47" s="31">
        <v>549000000</v>
      </c>
      <c r="X47" s="32">
        <f t="shared" si="4"/>
        <v>44490636090</v>
      </c>
      <c r="Z47" s="5">
        <v>45301</v>
      </c>
      <c r="AA47" s="6">
        <v>312.60449999999997</v>
      </c>
      <c r="AB47" s="31">
        <v>292000000</v>
      </c>
      <c r="AC47" s="32">
        <f t="shared" si="5"/>
        <v>91280513999.999985</v>
      </c>
    </row>
    <row r="48" spans="1:29" ht="14.5">
      <c r="A48" s="5">
        <v>45302</v>
      </c>
      <c r="B48" s="6">
        <v>360.83539999999999</v>
      </c>
      <c r="C48" s="6">
        <v>251604335</v>
      </c>
      <c r="D48" s="8">
        <f t="shared" si="0"/>
        <v>90787750861.459</v>
      </c>
      <c r="F48" s="5">
        <v>45302</v>
      </c>
      <c r="G48" s="6">
        <v>554.79999999999995</v>
      </c>
      <c r="H48" s="6">
        <v>324842047</v>
      </c>
      <c r="I48" s="8">
        <f t="shared" si="1"/>
        <v>180222367675.59998</v>
      </c>
      <c r="K48" s="5">
        <v>45302</v>
      </c>
      <c r="L48" s="6">
        <v>414.15</v>
      </c>
      <c r="M48" s="31">
        <v>200000000</v>
      </c>
      <c r="N48" s="32">
        <f t="shared" si="2"/>
        <v>82830000000</v>
      </c>
      <c r="P48" s="5">
        <v>45302</v>
      </c>
      <c r="Q48" s="6">
        <v>654.65</v>
      </c>
      <c r="R48" s="6">
        <v>59290219</v>
      </c>
      <c r="S48" s="8">
        <f t="shared" si="3"/>
        <v>38814341868.349998</v>
      </c>
      <c r="U48" s="5">
        <v>45302</v>
      </c>
      <c r="V48" s="6">
        <v>79.901330000000002</v>
      </c>
      <c r="W48" s="31">
        <v>390000000</v>
      </c>
      <c r="X48" s="32">
        <f t="shared" si="4"/>
        <v>31161518700</v>
      </c>
      <c r="Z48" s="5">
        <v>45302</v>
      </c>
      <c r="AA48" s="6">
        <v>320.98480000000001</v>
      </c>
      <c r="AB48" s="31">
        <v>285000000</v>
      </c>
      <c r="AC48" s="32">
        <f t="shared" si="5"/>
        <v>91480668000</v>
      </c>
    </row>
    <row r="49" spans="1:29" ht="14.5">
      <c r="A49" s="5">
        <v>45303</v>
      </c>
      <c r="B49" s="6">
        <v>330.76990000000001</v>
      </c>
      <c r="C49" s="6">
        <v>300219597</v>
      </c>
      <c r="D49" s="8">
        <f t="shared" si="0"/>
        <v>99303606077.730301</v>
      </c>
      <c r="F49" s="5">
        <v>45303</v>
      </c>
      <c r="G49" s="6">
        <v>529.45000000000005</v>
      </c>
      <c r="H49" s="6">
        <v>138941186</v>
      </c>
      <c r="I49" s="8">
        <f t="shared" si="1"/>
        <v>73562410927.700012</v>
      </c>
      <c r="K49" s="5">
        <v>45303</v>
      </c>
      <c r="L49" s="6">
        <v>392.4</v>
      </c>
      <c r="M49" s="31">
        <v>204000000</v>
      </c>
      <c r="N49" s="32">
        <f t="shared" si="2"/>
        <v>80049600000</v>
      </c>
      <c r="P49" s="5">
        <v>45303</v>
      </c>
      <c r="Q49" s="6">
        <v>642.65</v>
      </c>
      <c r="R49" s="6">
        <v>67029306</v>
      </c>
      <c r="S49" s="8">
        <f t="shared" si="3"/>
        <v>43076383500.900002</v>
      </c>
      <c r="U49" s="5">
        <v>45303</v>
      </c>
      <c r="V49" s="6">
        <v>79.165499999999994</v>
      </c>
      <c r="W49" s="31">
        <v>498000000</v>
      </c>
      <c r="X49" s="32">
        <f t="shared" si="4"/>
        <v>39424419000</v>
      </c>
      <c r="Z49" s="5">
        <v>45303</v>
      </c>
      <c r="AA49" s="6">
        <v>305.13150000000002</v>
      </c>
      <c r="AB49" s="31">
        <v>249000000</v>
      </c>
      <c r="AC49" s="32">
        <f t="shared" si="5"/>
        <v>75977743500</v>
      </c>
    </row>
    <row r="50" spans="1:29" ht="14.5">
      <c r="A50" s="5">
        <v>45658</v>
      </c>
      <c r="B50" s="6">
        <v>321.49220000000003</v>
      </c>
      <c r="C50" s="6">
        <v>322342497</v>
      </c>
      <c r="D50" s="8">
        <f t="shared" si="0"/>
        <v>103630598514.02341</v>
      </c>
      <c r="F50" s="5">
        <v>45658</v>
      </c>
      <c r="G50" s="6">
        <v>513.20000000000005</v>
      </c>
      <c r="H50" s="6">
        <v>197408402</v>
      </c>
      <c r="I50" s="8">
        <f t="shared" si="1"/>
        <v>101309991906.40001</v>
      </c>
      <c r="K50" s="5">
        <v>45658</v>
      </c>
      <c r="L50" s="6">
        <v>364.5</v>
      </c>
      <c r="M50" s="31">
        <v>177000000</v>
      </c>
      <c r="N50" s="32">
        <f t="shared" si="2"/>
        <v>64516500000</v>
      </c>
      <c r="P50" s="5">
        <v>45658</v>
      </c>
      <c r="Q50" s="6">
        <v>508.6</v>
      </c>
      <c r="R50" s="31">
        <v>107000000</v>
      </c>
      <c r="S50" s="32">
        <f t="shared" si="3"/>
        <v>54420200000</v>
      </c>
      <c r="U50" s="5">
        <v>45658</v>
      </c>
      <c r="V50" s="6">
        <v>79.028139999999993</v>
      </c>
      <c r="W50" s="31">
        <v>350000000</v>
      </c>
      <c r="X50" s="32">
        <f t="shared" si="4"/>
        <v>27659848999.999996</v>
      </c>
      <c r="Z50" s="5">
        <v>45658</v>
      </c>
      <c r="AA50" s="6">
        <v>298.16300000000001</v>
      </c>
      <c r="AB50" s="31">
        <v>239000000</v>
      </c>
      <c r="AC50" s="32">
        <f t="shared" si="5"/>
        <v>71260957000</v>
      </c>
    </row>
    <row r="51" spans="1:29" ht="14.5">
      <c r="A51" s="5">
        <v>45659</v>
      </c>
      <c r="B51" s="6">
        <v>311.45</v>
      </c>
      <c r="C51" s="6">
        <v>231050334</v>
      </c>
      <c r="D51" s="8">
        <f t="shared" si="0"/>
        <v>71960626524.300003</v>
      </c>
      <c r="F51" s="5">
        <v>45659</v>
      </c>
      <c r="G51" s="6">
        <v>478.95</v>
      </c>
      <c r="H51" s="6">
        <v>109070685</v>
      </c>
      <c r="I51" s="8">
        <f t="shared" si="1"/>
        <v>52239404580.75</v>
      </c>
      <c r="K51" s="5">
        <v>45659</v>
      </c>
      <c r="L51" s="6">
        <v>339.2</v>
      </c>
      <c r="M51" s="31">
        <v>151000000</v>
      </c>
      <c r="N51" s="32">
        <f t="shared" si="2"/>
        <v>51219200000</v>
      </c>
      <c r="P51" s="5">
        <v>45659</v>
      </c>
      <c r="Q51" s="6">
        <v>464.1</v>
      </c>
      <c r="R51" s="31">
        <v>131000000</v>
      </c>
      <c r="S51" s="32">
        <f t="shared" si="3"/>
        <v>60797100000</v>
      </c>
      <c r="U51" s="5">
        <v>45659</v>
      </c>
      <c r="V51" s="6">
        <v>71.522670000000005</v>
      </c>
      <c r="W51" s="31">
        <v>399000000</v>
      </c>
      <c r="X51" s="32">
        <f t="shared" si="4"/>
        <v>28537545330.000004</v>
      </c>
      <c r="Z51" s="5">
        <v>45659</v>
      </c>
      <c r="AA51" s="6">
        <v>247.9503</v>
      </c>
      <c r="AB51" s="31">
        <v>323000000</v>
      </c>
      <c r="AC51" s="32">
        <f t="shared" si="5"/>
        <v>80087946900</v>
      </c>
    </row>
    <row r="52" spans="1:29" ht="14.5">
      <c r="A52" s="5">
        <v>45660</v>
      </c>
      <c r="B52" s="6">
        <v>357.6</v>
      </c>
      <c r="C52" s="6">
        <v>303976178</v>
      </c>
      <c r="D52" s="8">
        <f t="shared" si="0"/>
        <v>108701881252.8</v>
      </c>
      <c r="F52" s="5">
        <v>45660</v>
      </c>
      <c r="G52" s="6">
        <v>509.3</v>
      </c>
      <c r="H52" s="6">
        <v>90601381</v>
      </c>
      <c r="I52" s="8">
        <f t="shared" si="1"/>
        <v>46143283343.300003</v>
      </c>
      <c r="K52" s="5">
        <v>45660</v>
      </c>
      <c r="L52" s="6">
        <v>375.4</v>
      </c>
      <c r="M52" s="31">
        <v>115000000</v>
      </c>
      <c r="N52" s="32">
        <f t="shared" si="2"/>
        <v>43171000000</v>
      </c>
      <c r="P52" s="5">
        <v>45660</v>
      </c>
      <c r="Q52" s="6">
        <v>537.9</v>
      </c>
      <c r="R52" s="6">
        <v>91837184</v>
      </c>
      <c r="S52" s="8">
        <f t="shared" si="3"/>
        <v>49399221273.599998</v>
      </c>
      <c r="U52" s="5">
        <v>45660</v>
      </c>
      <c r="V52" s="6">
        <v>82.2</v>
      </c>
      <c r="W52" s="31">
        <v>422000000</v>
      </c>
      <c r="X52" s="32">
        <f t="shared" si="4"/>
        <v>34688400000</v>
      </c>
      <c r="Z52" s="5">
        <v>45660</v>
      </c>
      <c r="AA52" s="6">
        <v>290.35000000000002</v>
      </c>
      <c r="AB52" s="31">
        <v>289000000</v>
      </c>
      <c r="AC52" s="32">
        <f t="shared" si="5"/>
        <v>83911150000</v>
      </c>
    </row>
    <row r="53" spans="1:29" ht="14.5">
      <c r="A53" s="5">
        <v>45661</v>
      </c>
      <c r="B53" s="6">
        <v>349.8</v>
      </c>
      <c r="C53" s="6">
        <v>71545262</v>
      </c>
      <c r="D53" s="8">
        <f t="shared" si="0"/>
        <v>25026532647.600002</v>
      </c>
      <c r="F53" s="5">
        <v>45661</v>
      </c>
      <c r="G53" s="6">
        <v>509.95</v>
      </c>
      <c r="H53" s="6">
        <v>30710720</v>
      </c>
      <c r="I53" s="8">
        <f t="shared" si="1"/>
        <v>15660931664</v>
      </c>
      <c r="K53" s="5">
        <v>45661</v>
      </c>
      <c r="L53" s="6">
        <v>354.85</v>
      </c>
      <c r="M53" s="6">
        <v>30793825</v>
      </c>
      <c r="N53" s="8">
        <f t="shared" si="2"/>
        <v>10927188801.25</v>
      </c>
      <c r="P53" s="5">
        <v>45661</v>
      </c>
      <c r="Q53" s="6">
        <v>488.4</v>
      </c>
      <c r="R53" s="6">
        <v>19858226</v>
      </c>
      <c r="S53" s="8">
        <f t="shared" si="3"/>
        <v>9698757578.3999996</v>
      </c>
      <c r="U53" s="5">
        <v>45661</v>
      </c>
      <c r="V53" s="6">
        <v>82.58</v>
      </c>
      <c r="W53" s="31">
        <v>107000000</v>
      </c>
      <c r="X53" s="32">
        <f t="shared" si="4"/>
        <v>8836060000</v>
      </c>
      <c r="Z53" s="5">
        <v>45661</v>
      </c>
      <c r="AA53" s="6">
        <v>289.39999999999998</v>
      </c>
      <c r="AB53" s="6">
        <v>90630391</v>
      </c>
      <c r="AC53" s="8">
        <f t="shared" si="5"/>
        <v>26228435155.399998</v>
      </c>
    </row>
    <row r="56" spans="1:29" ht="15.5">
      <c r="A56" s="30" t="s">
        <v>39</v>
      </c>
      <c r="B56" s="33">
        <f>AVERAGE(D5:D53)</f>
        <v>68857453802.505966</v>
      </c>
      <c r="F56" s="30" t="s">
        <v>39</v>
      </c>
      <c r="G56" s="33">
        <f>AVERAGE(I5:I53)</f>
        <v>70276368807.529602</v>
      </c>
      <c r="I56" s="34"/>
      <c r="K56" s="30" t="s">
        <v>39</v>
      </c>
      <c r="L56" s="35">
        <f>AVERAGE(N5:N53)</f>
        <v>109220648683.4949</v>
      </c>
      <c r="P56" s="30" t="s">
        <v>39</v>
      </c>
      <c r="Q56" s="35">
        <f>AVERAGE(S5:S53)</f>
        <v>25789436967.777195</v>
      </c>
      <c r="U56" s="30" t="s">
        <v>39</v>
      </c>
      <c r="V56" s="33">
        <f>AVERAGE(X5:X53)</f>
        <v>43184863299.395378</v>
      </c>
      <c r="Z56" s="30" t="s">
        <v>39</v>
      </c>
      <c r="AA56" s="35">
        <f>AVERAGE(AC5:AC53)</f>
        <v>63429653266.436729</v>
      </c>
    </row>
  </sheetData>
  <mergeCells count="4">
    <mergeCell ref="F1:G1"/>
    <mergeCell ref="K1:L1"/>
    <mergeCell ref="P1:Q1"/>
    <mergeCell ref="Z1:AA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7"/>
  <sheetViews>
    <sheetView workbookViewId="0"/>
  </sheetViews>
  <sheetFormatPr defaultColWidth="12.6328125" defaultRowHeight="15.75" customHeight="1"/>
  <sheetData>
    <row r="1" spans="1:26">
      <c r="A1" s="36" t="s">
        <v>40</v>
      </c>
      <c r="B1" s="36" t="s">
        <v>41</v>
      </c>
      <c r="C1" s="36" t="s">
        <v>42</v>
      </c>
      <c r="D1" s="36" t="s">
        <v>43</v>
      </c>
      <c r="E1" s="36" t="s">
        <v>44</v>
      </c>
      <c r="F1" s="36" t="s">
        <v>45</v>
      </c>
      <c r="G1" s="36" t="s">
        <v>46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6" t="s">
        <v>5</v>
      </c>
      <c r="B2" s="38">
        <v>1.43</v>
      </c>
      <c r="C2" s="38">
        <v>1.24</v>
      </c>
      <c r="D2" s="38">
        <v>1.34</v>
      </c>
      <c r="E2" s="38">
        <v>1.5</v>
      </c>
      <c r="F2" s="38">
        <v>1.46</v>
      </c>
      <c r="G2" s="39">
        <v>1.3939999999999999</v>
      </c>
    </row>
    <row r="3" spans="1:26">
      <c r="A3" s="36" t="s">
        <v>6</v>
      </c>
      <c r="B3" s="38">
        <v>0.67</v>
      </c>
      <c r="C3" s="38">
        <v>0.62</v>
      </c>
      <c r="D3" s="38">
        <v>1.32</v>
      </c>
      <c r="E3" s="38">
        <v>2.4500000000000002</v>
      </c>
      <c r="F3" s="38">
        <v>3.86</v>
      </c>
      <c r="G3" s="39">
        <v>1.784</v>
      </c>
    </row>
    <row r="4" spans="1:26">
      <c r="A4" s="36" t="s">
        <v>7</v>
      </c>
      <c r="B4" s="38">
        <v>1.73</v>
      </c>
      <c r="C4" s="38">
        <v>1.41</v>
      </c>
      <c r="D4" s="38">
        <v>1.57</v>
      </c>
      <c r="E4" s="38">
        <v>2</v>
      </c>
      <c r="F4" s="38">
        <v>1.88</v>
      </c>
      <c r="G4" s="39">
        <v>1.718</v>
      </c>
    </row>
    <row r="5" spans="1:26">
      <c r="A5" s="36" t="s">
        <v>8</v>
      </c>
      <c r="B5" s="38">
        <v>0.97</v>
      </c>
      <c r="C5" s="38">
        <v>0.46</v>
      </c>
      <c r="D5" s="38">
        <v>0.46</v>
      </c>
      <c r="E5" s="38">
        <v>0.09</v>
      </c>
      <c r="F5" s="38">
        <v>0.14000000000000001</v>
      </c>
      <c r="G5" s="39">
        <v>0.42399999999999999</v>
      </c>
    </row>
    <row r="6" spans="1:26">
      <c r="A6" s="36" t="s">
        <v>9</v>
      </c>
      <c r="B6" s="38">
        <v>0.79</v>
      </c>
      <c r="C6" s="38">
        <v>0.84</v>
      </c>
      <c r="D6" s="38">
        <v>0.85</v>
      </c>
      <c r="E6" s="38">
        <v>0.84</v>
      </c>
      <c r="F6" s="38">
        <v>0.8</v>
      </c>
      <c r="G6" s="39">
        <v>0.82399999999999995</v>
      </c>
    </row>
    <row r="7" spans="1:26">
      <c r="A7" s="36" t="s">
        <v>47</v>
      </c>
      <c r="B7" s="38">
        <v>1.33</v>
      </c>
      <c r="C7" s="38">
        <v>1.42</v>
      </c>
      <c r="D7" s="38">
        <v>1.56</v>
      </c>
      <c r="E7" s="38">
        <v>1.7</v>
      </c>
      <c r="F7" s="38">
        <v>2.0299999999999998</v>
      </c>
      <c r="G7" s="39">
        <v>1.6080000000000001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3"/>
  <sheetViews>
    <sheetView workbookViewId="0"/>
  </sheetViews>
  <sheetFormatPr defaultColWidth="12.6328125" defaultRowHeight="15.75" customHeight="1"/>
  <cols>
    <col min="1" max="1" width="15.26953125" customWidth="1"/>
    <col min="9" max="9" width="18.90625" customWidth="1"/>
    <col min="10" max="10" width="22.90625" customWidth="1"/>
  </cols>
  <sheetData>
    <row r="1" spans="1:26" ht="15.5">
      <c r="A1" s="36" t="s">
        <v>48</v>
      </c>
      <c r="B1" s="40">
        <v>45741</v>
      </c>
      <c r="C1" s="40">
        <v>45740</v>
      </c>
      <c r="D1" s="40">
        <v>45739</v>
      </c>
      <c r="E1" s="40">
        <v>45738</v>
      </c>
      <c r="F1" s="40">
        <v>45737</v>
      </c>
      <c r="G1" s="41"/>
      <c r="H1" s="41"/>
      <c r="I1" s="158" t="s">
        <v>49</v>
      </c>
      <c r="J1" s="159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3">
      <c r="A2" s="36" t="s">
        <v>50</v>
      </c>
      <c r="B2" s="38">
        <v>35948.300000000003</v>
      </c>
      <c r="C2" s="38">
        <v>38554.26</v>
      </c>
      <c r="D2" s="38">
        <v>34864.730000000003</v>
      </c>
      <c r="E2" s="38">
        <v>31038.98</v>
      </c>
      <c r="F2" s="38">
        <v>26665.91</v>
      </c>
    </row>
    <row r="3" spans="1:26" ht="39" customHeight="1">
      <c r="A3" s="36" t="s">
        <v>51</v>
      </c>
      <c r="B3" s="38">
        <v>12700</v>
      </c>
      <c r="C3" s="38">
        <v>12048.21</v>
      </c>
      <c r="D3" s="38">
        <v>11156.06</v>
      </c>
      <c r="E3" s="38">
        <v>9315.98</v>
      </c>
      <c r="F3" s="38">
        <v>9224.14</v>
      </c>
      <c r="J3" s="42" t="s">
        <v>52</v>
      </c>
    </row>
    <row r="4" spans="1:26" ht="12.5">
      <c r="B4" s="8">
        <f>B2/B3</f>
        <v>2.8305748031496067</v>
      </c>
      <c r="J4" s="39">
        <v>3.1738</v>
      </c>
    </row>
    <row r="6" spans="1:26" ht="13">
      <c r="A6" s="43" t="s">
        <v>53</v>
      </c>
      <c r="B6" s="44"/>
      <c r="C6" s="44"/>
      <c r="D6" s="44"/>
      <c r="E6" s="44"/>
      <c r="F6" s="44"/>
      <c r="I6" s="36" t="s">
        <v>54</v>
      </c>
      <c r="J6" s="45">
        <v>3.5000000000000003E-2</v>
      </c>
    </row>
    <row r="7" spans="1:26" ht="13">
      <c r="A7" s="36" t="s">
        <v>48</v>
      </c>
      <c r="B7" s="40">
        <v>45741</v>
      </c>
      <c r="C7" s="40">
        <v>45740</v>
      </c>
      <c r="D7" s="40">
        <v>45739</v>
      </c>
      <c r="E7" s="40">
        <v>45738</v>
      </c>
      <c r="F7" s="40">
        <v>45737</v>
      </c>
      <c r="I7" s="36" t="s">
        <v>18</v>
      </c>
      <c r="J7" s="38">
        <v>6.9139999999999997</v>
      </c>
    </row>
    <row r="8" spans="1:26" ht="13">
      <c r="A8" s="36" t="s">
        <v>53</v>
      </c>
      <c r="B8" s="38">
        <v>3.35</v>
      </c>
      <c r="C8" s="38">
        <v>3.2559999999999998</v>
      </c>
      <c r="D8" s="38">
        <v>3.177</v>
      </c>
      <c r="E8" s="38">
        <v>3.3119999999999998</v>
      </c>
      <c r="F8" s="38">
        <v>2.774</v>
      </c>
      <c r="I8" s="36" t="s">
        <v>55</v>
      </c>
      <c r="J8" s="38">
        <v>10.414</v>
      </c>
    </row>
    <row r="10" spans="1:26" ht="13">
      <c r="I10" s="36" t="s">
        <v>56</v>
      </c>
      <c r="J10" s="39">
        <v>0.40395427499999997</v>
      </c>
    </row>
    <row r="11" spans="1:26" ht="13">
      <c r="A11" s="36" t="s">
        <v>57</v>
      </c>
      <c r="B11" s="39">
        <v>1.4755277029</v>
      </c>
      <c r="I11" s="36" t="s">
        <v>58</v>
      </c>
      <c r="J11" s="39">
        <v>0.59604572440000003</v>
      </c>
    </row>
    <row r="12" spans="1:26" ht="13">
      <c r="A12" s="36" t="s">
        <v>59</v>
      </c>
      <c r="B12" s="39">
        <v>0.59604572438000003</v>
      </c>
    </row>
    <row r="13" spans="1:26" ht="13">
      <c r="A13" s="36" t="s">
        <v>60</v>
      </c>
      <c r="B13" s="39">
        <v>0.40395427499999997</v>
      </c>
    </row>
  </sheetData>
  <mergeCells count="1"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2"/>
  <sheetViews>
    <sheetView workbookViewId="0"/>
  </sheetViews>
  <sheetFormatPr defaultColWidth="12.6328125" defaultRowHeight="15.75" customHeight="1"/>
  <sheetData>
    <row r="1" spans="1:7" ht="15.75" customHeight="1">
      <c r="A1" s="20" t="s">
        <v>23</v>
      </c>
      <c r="B1" s="20"/>
      <c r="C1" s="21"/>
      <c r="D1" s="21"/>
      <c r="E1" s="21"/>
      <c r="F1" s="21"/>
      <c r="G1" s="21"/>
    </row>
    <row r="2" spans="1:7" ht="15.75" customHeight="1">
      <c r="A2" s="21"/>
      <c r="B2" s="21"/>
      <c r="C2" s="21"/>
      <c r="D2" s="21"/>
      <c r="E2" s="21"/>
      <c r="F2" s="21"/>
      <c r="G2" s="21"/>
    </row>
    <row r="3" spans="1:7" ht="15.75" customHeight="1">
      <c r="A3" s="155" t="s">
        <v>24</v>
      </c>
      <c r="B3" s="156"/>
      <c r="C3" s="21"/>
      <c r="D3" s="21"/>
      <c r="E3" s="21"/>
      <c r="F3" s="21"/>
      <c r="G3" s="21"/>
    </row>
    <row r="4" spans="1:7" ht="15.75" customHeight="1">
      <c r="A4" s="23" t="s">
        <v>25</v>
      </c>
      <c r="B4" s="24">
        <v>0.32700000000000001</v>
      </c>
      <c r="C4" s="21"/>
      <c r="D4" s="21"/>
      <c r="E4" s="21"/>
      <c r="F4" s="21"/>
      <c r="G4" s="21"/>
    </row>
    <row r="5" spans="1:7" ht="15.75" customHeight="1">
      <c r="A5" s="23" t="s">
        <v>26</v>
      </c>
      <c r="B5" s="24">
        <v>0.313</v>
      </c>
      <c r="C5" s="21"/>
      <c r="D5" s="21"/>
      <c r="E5" s="21"/>
      <c r="F5" s="21"/>
      <c r="G5" s="21"/>
    </row>
    <row r="6" spans="1:7" ht="15.75" customHeight="1">
      <c r="A6" s="25" t="s">
        <v>27</v>
      </c>
      <c r="B6" s="26">
        <v>48</v>
      </c>
      <c r="C6" s="21"/>
      <c r="D6" s="21"/>
      <c r="E6" s="21"/>
      <c r="F6" s="21"/>
      <c r="G6" s="21"/>
    </row>
    <row r="7" spans="1:7" ht="15.75" customHeight="1">
      <c r="A7" s="21"/>
      <c r="B7" s="21"/>
      <c r="C7" s="21"/>
      <c r="D7" s="21"/>
      <c r="E7" s="21"/>
      <c r="F7" s="21"/>
      <c r="G7" s="21"/>
    </row>
    <row r="8" spans="1:7" ht="15.75" customHeight="1">
      <c r="A8" s="21"/>
      <c r="B8" s="21"/>
      <c r="C8" s="21"/>
      <c r="D8" s="21"/>
      <c r="E8" s="21"/>
      <c r="F8" s="21"/>
      <c r="G8" s="21"/>
    </row>
    <row r="9" spans="1:7" ht="15.75" customHeight="1">
      <c r="A9" s="27"/>
      <c r="B9" s="22" t="s">
        <v>28</v>
      </c>
      <c r="C9" s="22" t="s">
        <v>29</v>
      </c>
      <c r="D9" s="22" t="s">
        <v>30</v>
      </c>
      <c r="E9" s="22" t="s">
        <v>31</v>
      </c>
      <c r="F9" s="22" t="s">
        <v>32</v>
      </c>
      <c r="G9" s="22" t="s">
        <v>33</v>
      </c>
    </row>
    <row r="10" spans="1:7" ht="15.75" customHeight="1">
      <c r="A10" s="23" t="s">
        <v>34</v>
      </c>
      <c r="B10" s="24">
        <v>1.9800000000000002E-2</v>
      </c>
      <c r="C10" s="24">
        <v>8.9999999999999993E-3</v>
      </c>
      <c r="D10" s="24">
        <v>2.2189999999999999</v>
      </c>
      <c r="E10" s="24">
        <v>3.1E-2</v>
      </c>
      <c r="F10" s="24">
        <v>2E-3</v>
      </c>
      <c r="G10" s="24">
        <v>3.7999999999999999E-2</v>
      </c>
    </row>
    <row r="11" spans="1:7" ht="15.75" customHeight="1">
      <c r="A11" s="25" t="s">
        <v>35</v>
      </c>
      <c r="B11" s="28">
        <v>1.0881000000000001</v>
      </c>
      <c r="C11" s="26">
        <v>0.23</v>
      </c>
      <c r="D11" s="26">
        <v>4.7309999999999999</v>
      </c>
      <c r="E11" s="28">
        <v>0</v>
      </c>
      <c r="F11" s="26">
        <v>0.625</v>
      </c>
      <c r="G11" s="26">
        <v>1.5509999999999999</v>
      </c>
    </row>
    <row r="14" spans="1:7" ht="15.75" customHeight="1">
      <c r="A14" s="10" t="s">
        <v>18</v>
      </c>
      <c r="B14" s="46">
        <v>6.7500000000000004E-2</v>
      </c>
    </row>
    <row r="15" spans="1:7" ht="15.75" customHeight="1">
      <c r="A15" s="10" t="s">
        <v>61</v>
      </c>
      <c r="B15" s="46">
        <v>0.10889</v>
      </c>
    </row>
    <row r="16" spans="1:7" ht="15.75" customHeight="1">
      <c r="A16" s="10" t="s">
        <v>62</v>
      </c>
      <c r="B16" s="46">
        <f>B14+(B11*(B15-B14))</f>
        <v>0.11253645900000001</v>
      </c>
    </row>
    <row r="17" spans="1:2" ht="15.75" customHeight="1">
      <c r="A17" s="10" t="s">
        <v>63</v>
      </c>
      <c r="B17" s="46">
        <v>0.10414</v>
      </c>
    </row>
    <row r="18" spans="1:2" ht="15.5">
      <c r="A18" s="10" t="s">
        <v>64</v>
      </c>
      <c r="B18" s="38">
        <v>1.4755277029</v>
      </c>
    </row>
    <row r="19" spans="1:2" ht="15.5">
      <c r="A19" s="10" t="s">
        <v>65</v>
      </c>
      <c r="B19" s="47">
        <v>0.40395427499999997</v>
      </c>
    </row>
    <row r="20" spans="1:2" ht="15.5">
      <c r="A20" s="10" t="s">
        <v>66</v>
      </c>
      <c r="B20" s="47">
        <v>0.59604572438000003</v>
      </c>
    </row>
    <row r="21" spans="1:2" ht="15.5">
      <c r="A21" s="10" t="s">
        <v>67</v>
      </c>
      <c r="B21" s="48">
        <v>0.3</v>
      </c>
    </row>
    <row r="22" spans="1:2" ht="15.5">
      <c r="A22" s="10" t="s">
        <v>68</v>
      </c>
      <c r="B22" s="49">
        <f>(B19*B16)+(B20*(1-B21)*B17)</f>
        <v>8.8910124922265465E-2</v>
      </c>
    </row>
  </sheetData>
  <mergeCells count="1">
    <mergeCell ref="A3:B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J26"/>
  <sheetViews>
    <sheetView workbookViewId="0"/>
  </sheetViews>
  <sheetFormatPr defaultColWidth="12.6328125" defaultRowHeight="15.75" customHeight="1"/>
  <cols>
    <col min="8" max="8" width="22.7265625" customWidth="1"/>
  </cols>
  <sheetData>
    <row r="2" spans="1:10" ht="15.75" customHeight="1">
      <c r="A2" s="9" t="s">
        <v>12</v>
      </c>
      <c r="B2" s="10" t="s">
        <v>13</v>
      </c>
      <c r="C2" s="9" t="s">
        <v>14</v>
      </c>
      <c r="D2" s="9" t="s">
        <v>15</v>
      </c>
      <c r="E2" s="10" t="s">
        <v>16</v>
      </c>
    </row>
    <row r="3" spans="1:10" ht="15.75" customHeight="1">
      <c r="A3" s="12" t="s">
        <v>5</v>
      </c>
      <c r="B3" s="13">
        <f>NTPC!B11</f>
        <v>1.0881000000000001</v>
      </c>
      <c r="C3" s="14">
        <f>'D TO E'!G2</f>
        <v>1.3939999999999999</v>
      </c>
      <c r="D3" s="15">
        <v>0.3</v>
      </c>
      <c r="E3" s="13">
        <f t="shared" ref="E3:E8" si="0">B3/((1+(1-D3)*C3))</f>
        <v>0.55071363498329795</v>
      </c>
    </row>
    <row r="4" spans="1:10" ht="15.75" customHeight="1">
      <c r="A4" s="12" t="s">
        <v>20</v>
      </c>
      <c r="B4" s="13">
        <f>ADANIPOWER!B11</f>
        <v>1.2726999999999999</v>
      </c>
      <c r="C4" s="14">
        <f>'D TO E'!G3</f>
        <v>1.784</v>
      </c>
      <c r="D4" s="15">
        <v>0.3</v>
      </c>
      <c r="E4" s="13">
        <f t="shared" si="0"/>
        <v>0.56594628246175738</v>
      </c>
    </row>
    <row r="5" spans="1:10" ht="15.75" customHeight="1">
      <c r="A5" s="12" t="s">
        <v>22</v>
      </c>
      <c r="B5" s="13">
        <f>TATAPOWER!B11</f>
        <v>1.3878999999999999</v>
      </c>
      <c r="C5" s="14">
        <f>'D TO E'!G4</f>
        <v>1.718</v>
      </c>
      <c r="D5" s="15">
        <v>0.3</v>
      </c>
      <c r="E5" s="13">
        <f t="shared" si="0"/>
        <v>0.63011895033142651</v>
      </c>
    </row>
    <row r="6" spans="1:10" ht="15.75" customHeight="1">
      <c r="A6" s="12" t="s">
        <v>8</v>
      </c>
      <c r="B6" s="13">
        <f>'JSW ENERGY'!B11</f>
        <v>1.7603</v>
      </c>
      <c r="C6" s="14">
        <f>'D TO E'!G5</f>
        <v>0.42399999999999999</v>
      </c>
      <c r="D6" s="15">
        <v>0.3</v>
      </c>
      <c r="E6" s="13">
        <f t="shared" si="0"/>
        <v>1.3574182603331277</v>
      </c>
      <c r="H6" s="11"/>
      <c r="I6" s="10" t="s">
        <v>17</v>
      </c>
      <c r="J6" s="10" t="s">
        <v>18</v>
      </c>
    </row>
    <row r="7" spans="1:10" ht="15.75" customHeight="1">
      <c r="A7" s="12" t="s">
        <v>9</v>
      </c>
      <c r="B7" s="13">
        <f>NHPC!B11</f>
        <v>1.1168</v>
      </c>
      <c r="C7" s="14">
        <f>'D TO E'!G6</f>
        <v>0.82399999999999995</v>
      </c>
      <c r="D7" s="15">
        <v>0.3</v>
      </c>
      <c r="E7" s="13">
        <f t="shared" si="0"/>
        <v>0.70826991374936588</v>
      </c>
      <c r="H7" s="16" t="s">
        <v>19</v>
      </c>
      <c r="I7" s="17">
        <f>Data!I56</f>
        <v>8.6502429429835999E-3</v>
      </c>
      <c r="J7" s="17">
        <f>Data!J56</f>
        <v>6.9137346938775504E-2</v>
      </c>
    </row>
    <row r="8" spans="1:10" ht="15.75" customHeight="1">
      <c r="A8" s="18" t="s">
        <v>10</v>
      </c>
      <c r="B8" s="19">
        <f>POWERGRID!B11</f>
        <v>0.96609999999999996</v>
      </c>
      <c r="C8" s="14">
        <f>'D TO E'!G7</f>
        <v>1.6080000000000001</v>
      </c>
      <c r="D8" s="15">
        <v>0.3</v>
      </c>
      <c r="E8" s="13">
        <f t="shared" si="0"/>
        <v>0.45450696273993224</v>
      </c>
      <c r="H8" s="16" t="s">
        <v>21</v>
      </c>
      <c r="I8" s="17">
        <f>Data!I57</f>
        <v>0.10888668719856409</v>
      </c>
      <c r="J8" s="17">
        <f>J7</f>
        <v>6.9137346938775504E-2</v>
      </c>
    </row>
    <row r="12" spans="1:10">
      <c r="H12" s="36" t="s">
        <v>55</v>
      </c>
      <c r="I12" s="45">
        <v>0.10414</v>
      </c>
    </row>
    <row r="13" spans="1:10" ht="15.75" customHeight="1">
      <c r="A13" s="160" t="s">
        <v>69</v>
      </c>
      <c r="B13" s="161"/>
      <c r="C13" s="159"/>
      <c r="D13" s="50">
        <f>AVERAGE(E4:E18)</f>
        <v>0.74325207392312187</v>
      </c>
    </row>
    <row r="14" spans="1:10" ht="15.75" customHeight="1">
      <c r="A14" s="21"/>
      <c r="B14" s="21"/>
      <c r="C14" s="21"/>
      <c r="D14" s="21"/>
    </row>
    <row r="15" spans="1:10" ht="15.75" customHeight="1">
      <c r="A15" s="21"/>
      <c r="B15" s="21"/>
      <c r="C15" s="21"/>
      <c r="D15" s="21"/>
    </row>
    <row r="16" spans="1:10" ht="15.75" customHeight="1">
      <c r="A16" s="160" t="s">
        <v>70</v>
      </c>
      <c r="B16" s="161"/>
      <c r="C16" s="159"/>
      <c r="D16" s="51">
        <f>C3</f>
        <v>1.3939999999999999</v>
      </c>
    </row>
    <row r="17" spans="1:4" ht="15.75" customHeight="1">
      <c r="A17" s="21"/>
      <c r="B17" s="21"/>
      <c r="C17" s="21"/>
      <c r="D17" s="21"/>
    </row>
    <row r="18" spans="1:4" ht="15.5">
      <c r="A18" s="160" t="s">
        <v>71</v>
      </c>
      <c r="B18" s="161"/>
      <c r="C18" s="159"/>
      <c r="D18" s="50">
        <f>D13*(1+(1-D3)*D16)</f>
        <v>1.4685174476573042</v>
      </c>
    </row>
    <row r="19" spans="1:4" ht="14.5">
      <c r="A19" s="21"/>
      <c r="B19" s="21"/>
      <c r="C19" s="21"/>
      <c r="D19" s="21"/>
    </row>
    <row r="20" spans="1:4" ht="15.5">
      <c r="A20" s="160" t="s">
        <v>72</v>
      </c>
      <c r="B20" s="161"/>
      <c r="C20" s="159"/>
      <c r="D20" s="52">
        <f>J8+(D18*(I12-J8))</f>
        <v>0.12053935367347901</v>
      </c>
    </row>
    <row r="21" spans="1:4" ht="14.5">
      <c r="A21" s="21"/>
      <c r="B21" s="21"/>
      <c r="C21" s="21"/>
      <c r="D21" s="21"/>
    </row>
    <row r="22" spans="1:4" ht="15.5">
      <c r="A22" s="160" t="s">
        <v>57</v>
      </c>
      <c r="B22" s="161"/>
      <c r="C22" s="159"/>
      <c r="D22" s="39">
        <v>1.4755277029</v>
      </c>
    </row>
    <row r="23" spans="1:4" ht="15.5">
      <c r="A23" s="160" t="s">
        <v>59</v>
      </c>
      <c r="B23" s="161"/>
      <c r="C23" s="159"/>
      <c r="D23" s="39">
        <v>0.59604572438000003</v>
      </c>
    </row>
    <row r="24" spans="1:4" ht="15.5">
      <c r="A24" s="160" t="s">
        <v>60</v>
      </c>
      <c r="B24" s="161"/>
      <c r="C24" s="159"/>
      <c r="D24" s="39">
        <v>0.40395427499999997</v>
      </c>
    </row>
    <row r="25" spans="1:4" ht="14.5">
      <c r="A25" s="21"/>
      <c r="B25" s="21"/>
      <c r="C25" s="21"/>
      <c r="D25" s="21"/>
    </row>
    <row r="26" spans="1:4" ht="15.5">
      <c r="A26" s="160" t="s">
        <v>68</v>
      </c>
      <c r="B26" s="161"/>
      <c r="C26" s="159"/>
      <c r="D26" s="52">
        <f>D24*D20+D23*(1-D3)*I12</f>
        <v>9.2142928437992044E-2</v>
      </c>
    </row>
  </sheetData>
  <mergeCells count="8">
    <mergeCell ref="A23:C23"/>
    <mergeCell ref="A24:C24"/>
    <mergeCell ref="A26:C26"/>
    <mergeCell ref="A13:C13"/>
    <mergeCell ref="A16:C16"/>
    <mergeCell ref="A18:C18"/>
    <mergeCell ref="A20:C20"/>
    <mergeCell ref="A22:C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2:AA149"/>
  <sheetViews>
    <sheetView workbookViewId="0"/>
  </sheetViews>
  <sheetFormatPr defaultColWidth="12.6328125" defaultRowHeight="15.75" customHeight="1"/>
  <sheetData>
    <row r="2" spans="1:27" ht="15.75" customHeight="1">
      <c r="A2" s="166" t="s">
        <v>5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66" t="s">
        <v>6</v>
      </c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5.75" customHeight="1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5.75" customHeight="1">
      <c r="A4" s="167" t="s">
        <v>73</v>
      </c>
      <c r="B4" s="151"/>
      <c r="C4" s="151"/>
      <c r="D4" s="151"/>
      <c r="E4" s="151"/>
      <c r="F4" s="151"/>
      <c r="H4" s="168" t="s">
        <v>74</v>
      </c>
      <c r="I4" s="151"/>
      <c r="J4" s="151"/>
      <c r="K4" s="151"/>
      <c r="L4" s="151"/>
      <c r="M4" s="151"/>
      <c r="O4" s="167" t="s">
        <v>73</v>
      </c>
      <c r="P4" s="151"/>
      <c r="Q4" s="151"/>
      <c r="R4" s="151"/>
      <c r="S4" s="151"/>
      <c r="T4" s="151"/>
      <c r="V4" s="168" t="s">
        <v>74</v>
      </c>
      <c r="W4" s="151"/>
      <c r="X4" s="151"/>
      <c r="Y4" s="151"/>
      <c r="Z4" s="151"/>
      <c r="AA4" s="151"/>
    </row>
    <row r="5" spans="1:27" ht="15.75" customHeight="1">
      <c r="A5" s="21"/>
      <c r="B5" s="53">
        <v>45740</v>
      </c>
      <c r="C5" s="53">
        <v>45739</v>
      </c>
      <c r="D5" s="53">
        <v>45738</v>
      </c>
      <c r="E5" s="53">
        <v>45737</v>
      </c>
      <c r="F5" s="53">
        <v>45736</v>
      </c>
      <c r="H5" s="21"/>
      <c r="I5" s="53">
        <v>45740</v>
      </c>
      <c r="J5" s="53">
        <v>45739</v>
      </c>
      <c r="K5" s="53">
        <v>45738</v>
      </c>
      <c r="L5" s="53">
        <v>45737</v>
      </c>
      <c r="M5" s="53">
        <v>45736</v>
      </c>
      <c r="N5" s="54"/>
      <c r="O5" s="21"/>
      <c r="P5" s="53">
        <v>45741</v>
      </c>
      <c r="Q5" s="53">
        <v>45740</v>
      </c>
      <c r="R5" s="53">
        <v>45739</v>
      </c>
      <c r="S5" s="53">
        <v>45738</v>
      </c>
      <c r="T5" s="53">
        <v>45737</v>
      </c>
      <c r="V5" s="21"/>
      <c r="W5" s="53">
        <v>45376</v>
      </c>
      <c r="X5" s="53">
        <v>45740</v>
      </c>
      <c r="Y5" s="53">
        <v>45739</v>
      </c>
      <c r="Z5" s="53">
        <v>45738</v>
      </c>
      <c r="AA5" s="53">
        <v>45737</v>
      </c>
    </row>
    <row r="6" spans="1:27" ht="15.75" customHeight="1">
      <c r="A6" s="55" t="s">
        <v>75</v>
      </c>
      <c r="B6" s="55">
        <v>178500</v>
      </c>
      <c r="C6" s="55">
        <v>176206</v>
      </c>
      <c r="D6" s="55">
        <v>132669</v>
      </c>
      <c r="E6" s="55">
        <v>111531</v>
      </c>
      <c r="F6" s="55">
        <v>101422</v>
      </c>
      <c r="H6" s="56"/>
      <c r="I6" s="57"/>
      <c r="J6" s="57"/>
      <c r="K6" s="57"/>
      <c r="L6" s="57"/>
      <c r="M6" s="57"/>
    </row>
    <row r="7" spans="1:27" ht="15.75" customHeight="1">
      <c r="A7" s="58" t="s">
        <v>76</v>
      </c>
      <c r="B7" s="58">
        <v>103994</v>
      </c>
      <c r="C7" s="58">
        <v>105980</v>
      </c>
      <c r="D7" s="58">
        <v>75337.66</v>
      </c>
      <c r="E7" s="58">
        <v>66045.320000000007</v>
      </c>
      <c r="F7" s="58">
        <v>62954.03</v>
      </c>
      <c r="H7" s="59" t="s">
        <v>77</v>
      </c>
      <c r="I7" s="59"/>
      <c r="J7" s="60"/>
      <c r="K7" s="60"/>
      <c r="L7" s="60"/>
      <c r="M7" s="60"/>
      <c r="O7" s="55" t="s">
        <v>75</v>
      </c>
      <c r="P7" s="55">
        <v>50351.25</v>
      </c>
      <c r="Q7" s="55">
        <v>38773.300000000003</v>
      </c>
      <c r="R7" s="55">
        <v>27711.18</v>
      </c>
      <c r="S7" s="55">
        <v>26221.48</v>
      </c>
      <c r="T7" s="55">
        <v>26467.72</v>
      </c>
      <c r="V7" s="169" t="s">
        <v>77</v>
      </c>
      <c r="W7" s="159"/>
      <c r="X7" s="61"/>
      <c r="Y7" s="61"/>
      <c r="Z7" s="61"/>
      <c r="AA7" s="61"/>
    </row>
    <row r="8" spans="1:27" ht="15.75" customHeight="1">
      <c r="A8" s="62" t="s">
        <v>78</v>
      </c>
      <c r="B8" s="62">
        <v>74506.13</v>
      </c>
      <c r="C8" s="62">
        <v>70226.2</v>
      </c>
      <c r="D8" s="62">
        <v>57331.62</v>
      </c>
      <c r="E8" s="62">
        <v>45989.08</v>
      </c>
      <c r="F8" s="62">
        <v>44341.59</v>
      </c>
      <c r="H8" s="59" t="s">
        <v>79</v>
      </c>
      <c r="I8" s="59"/>
      <c r="J8" s="60"/>
      <c r="K8" s="60"/>
      <c r="L8" s="60"/>
      <c r="M8" s="60"/>
      <c r="O8" s="58" t="s">
        <v>76</v>
      </c>
      <c r="P8" s="58">
        <v>29178.89</v>
      </c>
      <c r="Q8" s="58">
        <v>26214.6</v>
      </c>
      <c r="R8" s="58">
        <v>15950.54</v>
      </c>
      <c r="S8" s="58">
        <v>16613.23</v>
      </c>
      <c r="T8" s="58">
        <v>18921.509999999998</v>
      </c>
      <c r="V8" s="169" t="s">
        <v>79</v>
      </c>
      <c r="W8" s="159"/>
      <c r="X8" s="63"/>
      <c r="Y8" s="63"/>
      <c r="Z8" s="63"/>
      <c r="AA8" s="63"/>
    </row>
    <row r="9" spans="1:27" ht="15.75" customHeight="1">
      <c r="A9" s="64" t="s">
        <v>80</v>
      </c>
      <c r="B9" s="64">
        <v>155660</v>
      </c>
      <c r="C9" s="64">
        <v>154426</v>
      </c>
      <c r="D9" s="64">
        <v>115493</v>
      </c>
      <c r="E9" s="64">
        <v>99231.77</v>
      </c>
      <c r="F9" s="64">
        <v>82062.539999999994</v>
      </c>
      <c r="H9" s="65" t="s">
        <v>81</v>
      </c>
      <c r="I9" s="66">
        <v>9696.67</v>
      </c>
      <c r="J9" s="66">
        <v>9696.67</v>
      </c>
      <c r="K9" s="66">
        <v>9696.67</v>
      </c>
      <c r="L9" s="66">
        <v>9696.67</v>
      </c>
      <c r="M9" s="66">
        <v>9894.56</v>
      </c>
      <c r="O9" s="62" t="s">
        <v>78</v>
      </c>
      <c r="P9" s="62">
        <v>21172.36</v>
      </c>
      <c r="Q9" s="62">
        <v>12558.7</v>
      </c>
      <c r="R9" s="62">
        <v>11760.64</v>
      </c>
      <c r="S9" s="62">
        <v>9608.25</v>
      </c>
      <c r="T9" s="62">
        <v>7546.21</v>
      </c>
      <c r="V9" s="67" t="s">
        <v>81</v>
      </c>
      <c r="W9" s="68">
        <v>3856.94</v>
      </c>
      <c r="X9" s="68">
        <v>3856.94</v>
      </c>
      <c r="Y9" s="68">
        <v>3856.94</v>
      </c>
      <c r="Z9" s="68">
        <v>3856.94</v>
      </c>
      <c r="AA9" s="68">
        <v>3856.94</v>
      </c>
    </row>
    <row r="10" spans="1:27" ht="15.75" customHeight="1">
      <c r="A10" s="62" t="s">
        <v>82</v>
      </c>
      <c r="B10" s="62">
        <v>0</v>
      </c>
      <c r="C10" s="62">
        <v>13220.52</v>
      </c>
      <c r="D10" s="62">
        <v>6310.09</v>
      </c>
      <c r="E10" s="62">
        <v>528.20000000000005</v>
      </c>
      <c r="F10" s="62">
        <v>8758.52</v>
      </c>
      <c r="H10" s="69" t="s">
        <v>83</v>
      </c>
      <c r="I10" s="70">
        <v>9696.67</v>
      </c>
      <c r="J10" s="70">
        <v>9696.67</v>
      </c>
      <c r="K10" s="70">
        <v>9696.67</v>
      </c>
      <c r="L10" s="70">
        <v>9696.67</v>
      </c>
      <c r="M10" s="70">
        <v>9894.56</v>
      </c>
      <c r="O10" s="64" t="s">
        <v>80</v>
      </c>
      <c r="P10" s="64">
        <v>39489.97</v>
      </c>
      <c r="Q10" s="64">
        <v>35365.82</v>
      </c>
      <c r="R10" s="64">
        <v>25109.34</v>
      </c>
      <c r="S10" s="64">
        <v>25860.94</v>
      </c>
      <c r="T10" s="64">
        <v>23174.19</v>
      </c>
      <c r="V10" s="67" t="s">
        <v>84</v>
      </c>
      <c r="W10" s="71">
        <v>184.49</v>
      </c>
      <c r="X10" s="71">
        <v>168.95</v>
      </c>
      <c r="Y10" s="71">
        <v>154.43</v>
      </c>
      <c r="Z10" s="71">
        <v>0</v>
      </c>
      <c r="AA10" s="71">
        <v>0</v>
      </c>
    </row>
    <row r="11" spans="1:27" ht="15.75" customHeight="1">
      <c r="A11" s="58" t="s">
        <v>85</v>
      </c>
      <c r="B11" s="58">
        <v>155660</v>
      </c>
      <c r="C11" s="58">
        <v>138208</v>
      </c>
      <c r="D11" s="58">
        <v>11021.47</v>
      </c>
      <c r="E11" s="58">
        <v>90377.95</v>
      </c>
      <c r="F11" s="58">
        <v>8317.94</v>
      </c>
      <c r="H11" s="65" t="s">
        <v>86</v>
      </c>
      <c r="I11" s="72" t="s">
        <v>87</v>
      </c>
      <c r="J11" s="72" t="s">
        <v>88</v>
      </c>
      <c r="K11" s="72" t="s">
        <v>89</v>
      </c>
      <c r="L11" s="72" t="s">
        <v>90</v>
      </c>
      <c r="M11" s="72" t="s">
        <v>91</v>
      </c>
      <c r="O11" s="62" t="s">
        <v>82</v>
      </c>
      <c r="P11" s="62">
        <v>0</v>
      </c>
      <c r="Q11" s="62">
        <v>569.99</v>
      </c>
      <c r="R11" s="62">
        <v>470.31</v>
      </c>
      <c r="S11" s="62">
        <v>163.51</v>
      </c>
      <c r="T11" s="62">
        <v>1516.53</v>
      </c>
      <c r="V11" s="73" t="s">
        <v>83</v>
      </c>
      <c r="W11" s="74">
        <v>4041.43</v>
      </c>
      <c r="X11" s="74">
        <v>4025.89</v>
      </c>
      <c r="Y11" s="74">
        <v>4011.37</v>
      </c>
      <c r="Z11" s="74">
        <v>3856.94</v>
      </c>
      <c r="AA11" s="74">
        <v>3856.94</v>
      </c>
    </row>
    <row r="12" spans="1:27" ht="15.75" customHeight="1">
      <c r="A12" s="62" t="s">
        <v>92</v>
      </c>
      <c r="B12" s="62">
        <v>0</v>
      </c>
      <c r="C12" s="62">
        <v>2760.89</v>
      </c>
      <c r="D12" s="62">
        <v>0</v>
      </c>
      <c r="E12" s="62">
        <v>1185.56</v>
      </c>
      <c r="F12" s="62">
        <v>0</v>
      </c>
      <c r="H12" s="69" t="s">
        <v>93</v>
      </c>
      <c r="I12" s="75" t="s">
        <v>87</v>
      </c>
      <c r="J12" s="75" t="s">
        <v>88</v>
      </c>
      <c r="K12" s="75" t="s">
        <v>89</v>
      </c>
      <c r="L12" s="75" t="s">
        <v>90</v>
      </c>
      <c r="M12" s="75" t="s">
        <v>91</v>
      </c>
      <c r="O12" s="58" t="s">
        <v>85</v>
      </c>
      <c r="P12" s="58">
        <v>39488.89</v>
      </c>
      <c r="Q12" s="58">
        <v>34795.83</v>
      </c>
      <c r="R12" s="58">
        <v>24639.03</v>
      </c>
      <c r="S12" s="58">
        <v>20389.79</v>
      </c>
      <c r="T12" s="58">
        <v>568.48</v>
      </c>
      <c r="V12" s="67" t="s">
        <v>86</v>
      </c>
      <c r="W12" s="68">
        <v>28029.56</v>
      </c>
      <c r="X12" s="68">
        <v>10905.38</v>
      </c>
      <c r="Y12" s="68">
        <v>1145.4000000000001</v>
      </c>
      <c r="Z12" s="68">
        <v>4213.41</v>
      </c>
      <c r="AA12" s="68">
        <v>3318.44</v>
      </c>
    </row>
    <row r="13" spans="1:27" ht="15.75" customHeight="1">
      <c r="A13" s="58" t="s">
        <v>94</v>
      </c>
      <c r="B13" s="58">
        <v>0</v>
      </c>
      <c r="C13" s="58">
        <v>236.78</v>
      </c>
      <c r="D13" s="58">
        <v>0</v>
      </c>
      <c r="E13" s="58">
        <v>0</v>
      </c>
      <c r="F13" s="58">
        <v>0</v>
      </c>
      <c r="H13" s="69" t="s">
        <v>95</v>
      </c>
      <c r="I13" s="70" t="s">
        <v>96</v>
      </c>
      <c r="J13" s="70" t="s">
        <v>97</v>
      </c>
      <c r="K13" s="70" t="s">
        <v>98</v>
      </c>
      <c r="L13" s="70" t="s">
        <v>99</v>
      </c>
      <c r="M13" s="70" t="s">
        <v>100</v>
      </c>
      <c r="N13" s="76"/>
      <c r="O13" s="62" t="s">
        <v>94</v>
      </c>
      <c r="P13" s="62">
        <v>1.08</v>
      </c>
      <c r="Q13" s="62">
        <v>0</v>
      </c>
      <c r="R13" s="62">
        <v>0</v>
      </c>
      <c r="S13" s="62">
        <v>0</v>
      </c>
      <c r="T13" s="62">
        <v>0</v>
      </c>
      <c r="V13" s="73" t="s">
        <v>93</v>
      </c>
      <c r="W13" s="74">
        <v>28029.56</v>
      </c>
      <c r="X13" s="74">
        <v>10905.38</v>
      </c>
      <c r="Y13" s="74">
        <v>1145.4000000000001</v>
      </c>
      <c r="Z13" s="74">
        <v>4213.41</v>
      </c>
      <c r="AA13" s="74">
        <v>3318.44</v>
      </c>
    </row>
    <row r="14" spans="1:27" ht="15.75" customHeight="1">
      <c r="A14" s="62" t="s">
        <v>101</v>
      </c>
      <c r="B14" s="62">
        <v>16203.63</v>
      </c>
      <c r="C14" s="62">
        <v>14792.27</v>
      </c>
      <c r="D14" s="62">
        <v>13787.83</v>
      </c>
      <c r="E14" s="62">
        <v>12450.31</v>
      </c>
      <c r="F14" s="62">
        <v>10356.16</v>
      </c>
      <c r="H14" s="59" t="s">
        <v>102</v>
      </c>
      <c r="I14" s="77"/>
      <c r="J14" s="78"/>
      <c r="K14" s="78"/>
      <c r="L14" s="78"/>
      <c r="M14" s="77"/>
      <c r="N14" s="79"/>
      <c r="O14" s="58" t="s">
        <v>101</v>
      </c>
      <c r="P14" s="58">
        <v>3931.33</v>
      </c>
      <c r="Q14" s="58">
        <v>3303.68</v>
      </c>
      <c r="R14" s="58">
        <v>3117.54</v>
      </c>
      <c r="S14" s="58">
        <v>3201.65</v>
      </c>
      <c r="T14" s="58">
        <v>3006.5</v>
      </c>
      <c r="V14" s="73" t="s">
        <v>95</v>
      </c>
      <c r="W14" s="74">
        <v>32070.99</v>
      </c>
      <c r="X14" s="74">
        <v>14931.27</v>
      </c>
      <c r="Y14" s="74">
        <v>5156.7700000000004</v>
      </c>
      <c r="Z14" s="74">
        <v>8070.35</v>
      </c>
      <c r="AA14" s="74">
        <v>7175.38</v>
      </c>
    </row>
    <row r="15" spans="1:27" ht="15.75" customHeight="1">
      <c r="A15" s="80" t="s">
        <v>103</v>
      </c>
      <c r="B15" s="80">
        <v>22840.87</v>
      </c>
      <c r="C15" s="80">
        <v>32936.639999999999</v>
      </c>
      <c r="D15" s="80">
        <v>26491.73</v>
      </c>
      <c r="E15" s="80">
        <v>21656.45</v>
      </c>
      <c r="F15" s="80">
        <v>22207.07</v>
      </c>
      <c r="H15" s="65" t="s">
        <v>104</v>
      </c>
      <c r="I15" s="66" t="s">
        <v>105</v>
      </c>
      <c r="J15" s="66" t="s">
        <v>106</v>
      </c>
      <c r="K15" s="66" t="s">
        <v>107</v>
      </c>
      <c r="L15" s="66" t="s">
        <v>108</v>
      </c>
      <c r="M15" s="66" t="s">
        <v>109</v>
      </c>
      <c r="N15" s="79"/>
      <c r="O15" s="81" t="s">
        <v>103</v>
      </c>
      <c r="P15" s="81">
        <v>10861.28</v>
      </c>
      <c r="Q15" s="81">
        <v>6740.98</v>
      </c>
      <c r="R15" s="81">
        <v>6696.62</v>
      </c>
      <c r="S15" s="81">
        <v>5831.69</v>
      </c>
      <c r="T15" s="81">
        <v>1920.57</v>
      </c>
      <c r="V15" s="67" t="s">
        <v>110</v>
      </c>
      <c r="W15" s="68">
        <v>7561.55</v>
      </c>
      <c r="X15" s="68">
        <v>13461.55</v>
      </c>
      <c r="Y15" s="68">
        <v>13461.55</v>
      </c>
      <c r="Z15" s="68">
        <v>9015</v>
      </c>
      <c r="AA15" s="68">
        <v>8615</v>
      </c>
    </row>
    <row r="16" spans="1:27" ht="15.75" customHeight="1">
      <c r="A16" s="62" t="s">
        <v>111</v>
      </c>
      <c r="B16" s="62">
        <v>0</v>
      </c>
      <c r="C16" s="62">
        <v>-10355.33</v>
      </c>
      <c r="D16" s="62">
        <v>8295.85</v>
      </c>
      <c r="E16" s="62">
        <v>8540.17</v>
      </c>
      <c r="F16" s="62">
        <v>-8449.0400000000009</v>
      </c>
      <c r="H16" s="65" t="s">
        <v>112</v>
      </c>
      <c r="I16" s="66">
        <v>13066.53</v>
      </c>
      <c r="J16" s="66">
        <v>10614.07</v>
      </c>
      <c r="K16" s="66">
        <v>10006.290000000001</v>
      </c>
      <c r="L16" s="66">
        <v>9160.99</v>
      </c>
      <c r="M16" s="66">
        <v>8093.98</v>
      </c>
      <c r="N16" s="82"/>
      <c r="O16" s="58" t="s">
        <v>111</v>
      </c>
      <c r="P16" s="58">
        <v>0</v>
      </c>
      <c r="Q16" s="58">
        <v>-3333.5</v>
      </c>
      <c r="R16" s="58">
        <v>4094.78</v>
      </c>
      <c r="S16" s="58">
        <v>5106.33</v>
      </c>
      <c r="T16" s="58">
        <v>-3935.85</v>
      </c>
      <c r="V16" s="169" t="s">
        <v>102</v>
      </c>
      <c r="W16" s="159"/>
      <c r="X16" s="63"/>
      <c r="Y16" s="63"/>
      <c r="Z16" s="63"/>
      <c r="AA16" s="63"/>
    </row>
    <row r="17" spans="1:27" ht="15.75" customHeight="1">
      <c r="A17" s="58" t="s">
        <v>113</v>
      </c>
      <c r="B17" s="58">
        <v>-6747.43</v>
      </c>
      <c r="C17" s="58">
        <v>-11156.06</v>
      </c>
      <c r="D17" s="58">
        <v>-5970.82</v>
      </c>
      <c r="E17" s="58">
        <v>6169.71</v>
      </c>
      <c r="F17" s="58">
        <v>0</v>
      </c>
      <c r="H17" s="65" t="s">
        <v>114</v>
      </c>
      <c r="I17" s="66">
        <v>1373.39</v>
      </c>
      <c r="J17" s="66">
        <v>1391.89</v>
      </c>
      <c r="K17" s="66">
        <v>2786.77</v>
      </c>
      <c r="L17" s="66">
        <v>2582.4899999999998</v>
      </c>
      <c r="M17" s="66">
        <v>1262.1300000000001</v>
      </c>
      <c r="N17" s="79"/>
      <c r="O17" s="62" t="s">
        <v>113</v>
      </c>
      <c r="P17" s="62">
        <v>-3388.09</v>
      </c>
      <c r="Q17" s="62">
        <v>-2958.49</v>
      </c>
      <c r="R17" s="62">
        <v>-119.49</v>
      </c>
      <c r="S17" s="62">
        <v>3542.95</v>
      </c>
      <c r="T17" s="62">
        <v>0</v>
      </c>
      <c r="V17" s="67" t="s">
        <v>104</v>
      </c>
      <c r="W17" s="68">
        <v>18701.13</v>
      </c>
      <c r="X17" s="68">
        <v>24809.68</v>
      </c>
      <c r="Y17" s="68">
        <v>30308.02</v>
      </c>
      <c r="Z17" s="71">
        <v>930.56</v>
      </c>
      <c r="AA17" s="68">
        <v>3112.85</v>
      </c>
    </row>
    <row r="18" spans="1:27" ht="14">
      <c r="A18" s="81" t="s">
        <v>115</v>
      </c>
      <c r="B18" s="81">
        <v>54757.89</v>
      </c>
      <c r="C18" s="81">
        <v>49657</v>
      </c>
      <c r="D18" s="81">
        <v>43624.72</v>
      </c>
      <c r="E18" s="81">
        <v>39116.22</v>
      </c>
      <c r="F18" s="81">
        <v>34032.160000000003</v>
      </c>
      <c r="H18" s="65" t="s">
        <v>116</v>
      </c>
      <c r="I18" s="66">
        <v>1898.03</v>
      </c>
      <c r="J18" s="66">
        <v>1727.78</v>
      </c>
      <c r="K18" s="66">
        <v>1446.02</v>
      </c>
      <c r="L18" s="66">
        <v>826.25</v>
      </c>
      <c r="M18" s="66">
        <v>826.74</v>
      </c>
      <c r="N18" s="76"/>
      <c r="O18" s="80" t="s">
        <v>115</v>
      </c>
      <c r="P18" s="80">
        <v>28110.93</v>
      </c>
      <c r="Q18" s="80">
        <v>14311.88</v>
      </c>
      <c r="R18" s="80">
        <v>13789.45</v>
      </c>
      <c r="S18" s="80">
        <v>10596.72</v>
      </c>
      <c r="T18" s="80">
        <v>5986.55</v>
      </c>
      <c r="V18" s="67" t="s">
        <v>112</v>
      </c>
      <c r="W18" s="71">
        <v>0</v>
      </c>
      <c r="X18" s="71">
        <v>0</v>
      </c>
      <c r="Y18" s="68">
        <v>2303.87</v>
      </c>
      <c r="Z18" s="71">
        <v>0</v>
      </c>
      <c r="AA18" s="71">
        <v>0</v>
      </c>
    </row>
    <row r="19" spans="1:27" ht="14">
      <c r="A19" s="58" t="s">
        <v>117</v>
      </c>
      <c r="B19" s="58">
        <v>16203.63</v>
      </c>
      <c r="C19" s="58">
        <v>14792.27</v>
      </c>
      <c r="D19" s="58">
        <v>13787.83</v>
      </c>
      <c r="E19" s="58">
        <v>12450.31</v>
      </c>
      <c r="F19" s="58">
        <v>10356.16</v>
      </c>
      <c r="H19" s="69" t="s">
        <v>118</v>
      </c>
      <c r="I19" s="70" t="s">
        <v>119</v>
      </c>
      <c r="J19" s="70" t="s">
        <v>120</v>
      </c>
      <c r="K19" s="70" t="s">
        <v>121</v>
      </c>
      <c r="L19" s="70" t="s">
        <v>122</v>
      </c>
      <c r="M19" s="70" t="s">
        <v>123</v>
      </c>
      <c r="N19" s="79"/>
      <c r="O19" s="62" t="s">
        <v>117</v>
      </c>
      <c r="P19" s="62">
        <v>3931.33</v>
      </c>
      <c r="Q19" s="62">
        <v>3303.68</v>
      </c>
      <c r="R19" s="62">
        <v>3117.54</v>
      </c>
      <c r="S19" s="62">
        <v>3201.65</v>
      </c>
      <c r="T19" s="62">
        <v>3006.5</v>
      </c>
      <c r="V19" s="67" t="s">
        <v>114</v>
      </c>
      <c r="W19" s="68">
        <v>4272.92</v>
      </c>
      <c r="X19" s="68">
        <v>4557.12</v>
      </c>
      <c r="Y19" s="68">
        <v>4786.3900000000003</v>
      </c>
      <c r="Z19" s="71">
        <v>226.58</v>
      </c>
      <c r="AA19" s="71">
        <v>205.83</v>
      </c>
    </row>
    <row r="20" spans="1:27" ht="14">
      <c r="A20" s="81" t="s">
        <v>50</v>
      </c>
      <c r="B20" s="81">
        <v>38554.26</v>
      </c>
      <c r="C20" s="81">
        <v>34864.730000000003</v>
      </c>
      <c r="D20" s="81">
        <v>31038.98</v>
      </c>
      <c r="E20" s="81">
        <v>26665.91</v>
      </c>
      <c r="F20" s="81">
        <v>23705.33</v>
      </c>
      <c r="H20" s="59" t="s">
        <v>124</v>
      </c>
      <c r="I20" s="77"/>
      <c r="J20" s="78"/>
      <c r="K20" s="78"/>
      <c r="L20" s="78"/>
      <c r="M20" s="78"/>
      <c r="N20" s="79"/>
      <c r="O20" s="80" t="s">
        <v>50</v>
      </c>
      <c r="P20" s="80">
        <v>24179.599999999999</v>
      </c>
      <c r="Q20" s="80">
        <v>11008.2</v>
      </c>
      <c r="R20" s="80">
        <v>10671.91</v>
      </c>
      <c r="S20" s="80">
        <v>7395.07</v>
      </c>
      <c r="T20" s="80">
        <v>2982.36</v>
      </c>
      <c r="V20" s="67" t="s">
        <v>116</v>
      </c>
      <c r="W20" s="71">
        <v>149.03</v>
      </c>
      <c r="X20" s="71">
        <v>148.32</v>
      </c>
      <c r="Y20" s="71">
        <v>132.38</v>
      </c>
      <c r="Z20" s="71">
        <v>1.53</v>
      </c>
      <c r="AA20" s="71">
        <v>2.14</v>
      </c>
    </row>
    <row r="21" spans="1:27" ht="14">
      <c r="A21" s="58" t="s">
        <v>51</v>
      </c>
      <c r="B21" s="58">
        <v>12048.21</v>
      </c>
      <c r="C21" s="58">
        <v>11156.06</v>
      </c>
      <c r="D21" s="58">
        <v>9315.98</v>
      </c>
      <c r="E21" s="58">
        <v>9224.14</v>
      </c>
      <c r="F21" s="58">
        <v>13348.04</v>
      </c>
      <c r="H21" s="65" t="s">
        <v>125</v>
      </c>
      <c r="I21" s="66">
        <v>39059.550000000003</v>
      </c>
      <c r="J21" s="66">
        <v>28681.96</v>
      </c>
      <c r="K21" s="66">
        <v>23272.33</v>
      </c>
      <c r="L21" s="66">
        <v>12859.74</v>
      </c>
      <c r="M21" s="66">
        <v>14049.36</v>
      </c>
      <c r="N21" s="79"/>
      <c r="O21" s="62" t="s">
        <v>51</v>
      </c>
      <c r="P21" s="62">
        <v>3388.09</v>
      </c>
      <c r="Q21" s="62">
        <v>3333.5</v>
      </c>
      <c r="R21" s="62">
        <v>4094.78</v>
      </c>
      <c r="S21" s="62">
        <v>5106.33</v>
      </c>
      <c r="T21" s="62">
        <v>5244.97</v>
      </c>
      <c r="V21" s="73" t="s">
        <v>118</v>
      </c>
      <c r="W21" s="74">
        <v>23123.08</v>
      </c>
      <c r="X21" s="74">
        <v>29515.119999999999</v>
      </c>
      <c r="Y21" s="74">
        <v>37530.660000000003</v>
      </c>
      <c r="Z21" s="74">
        <v>1158.67</v>
      </c>
      <c r="AA21" s="74">
        <v>3320.82</v>
      </c>
    </row>
    <row r="22" spans="1:27" ht="14">
      <c r="A22" s="64" t="s">
        <v>126</v>
      </c>
      <c r="B22" s="64">
        <v>26506.05</v>
      </c>
      <c r="C22" s="64">
        <v>23137.7</v>
      </c>
      <c r="D22" s="64">
        <v>19500.78</v>
      </c>
      <c r="E22" s="64">
        <v>14802.87</v>
      </c>
      <c r="F22" s="64">
        <v>16377.51</v>
      </c>
      <c r="H22" s="65" t="s">
        <v>127</v>
      </c>
      <c r="I22" s="66">
        <v>9474.66</v>
      </c>
      <c r="J22" s="66">
        <v>12007.34</v>
      </c>
      <c r="K22" s="66">
        <v>9326.31</v>
      </c>
      <c r="L22" s="66">
        <v>7182.47</v>
      </c>
      <c r="M22" s="66">
        <v>9000.6299999999992</v>
      </c>
      <c r="N22" s="79"/>
      <c r="O22" s="80" t="s">
        <v>126</v>
      </c>
      <c r="P22" s="80">
        <v>20791.509999999998</v>
      </c>
      <c r="Q22" s="80">
        <v>7674.7</v>
      </c>
      <c r="R22" s="80">
        <v>6577.13</v>
      </c>
      <c r="S22" s="80">
        <v>2288.7399999999998</v>
      </c>
      <c r="T22" s="80">
        <v>-2264.92</v>
      </c>
      <c r="V22" s="169" t="s">
        <v>124</v>
      </c>
      <c r="W22" s="159"/>
      <c r="X22" s="63"/>
      <c r="Y22" s="63"/>
      <c r="Z22" s="63"/>
      <c r="AA22" s="63"/>
    </row>
    <row r="23" spans="1:27" ht="12.5">
      <c r="A23" s="58" t="s">
        <v>128</v>
      </c>
      <c r="B23" s="58">
        <v>6809.2</v>
      </c>
      <c r="C23" s="58">
        <v>6796.12</v>
      </c>
      <c r="D23" s="58">
        <v>5047.1000000000004</v>
      </c>
      <c r="E23" s="58">
        <v>2420.5300000000002</v>
      </c>
      <c r="F23" s="58">
        <v>9347.5400000000009</v>
      </c>
      <c r="H23" s="65" t="s">
        <v>129</v>
      </c>
      <c r="I23" s="66">
        <v>26002.07</v>
      </c>
      <c r="J23" s="66">
        <v>25288.400000000001</v>
      </c>
      <c r="K23" s="66">
        <v>25137.5</v>
      </c>
      <c r="L23" s="66">
        <v>33116.29</v>
      </c>
      <c r="M23" s="66">
        <v>27687.3</v>
      </c>
      <c r="O23" s="62" t="s">
        <v>128</v>
      </c>
      <c r="P23" s="62">
        <v>-37.28</v>
      </c>
      <c r="Q23" s="62">
        <v>-3051.94</v>
      </c>
      <c r="R23" s="62">
        <v>1665.55</v>
      </c>
      <c r="S23" s="62">
        <v>1018.76</v>
      </c>
      <c r="T23" s="62">
        <v>9.85</v>
      </c>
      <c r="V23" s="67" t="s">
        <v>125</v>
      </c>
      <c r="W23" s="68">
        <v>6758.99</v>
      </c>
      <c r="X23" s="68">
        <v>7827.72</v>
      </c>
      <c r="Y23" s="68">
        <v>9932.7999999999993</v>
      </c>
      <c r="Z23" s="68">
        <v>5293.17</v>
      </c>
      <c r="AA23" s="68">
        <v>2589.02</v>
      </c>
    </row>
    <row r="24" spans="1:27" ht="12.5">
      <c r="A24" s="62" t="s">
        <v>130</v>
      </c>
      <c r="B24" s="62">
        <v>6809.2</v>
      </c>
      <c r="C24" s="62">
        <v>6796.12</v>
      </c>
      <c r="D24" s="62">
        <v>5047.1000000000004</v>
      </c>
      <c r="E24" s="62">
        <v>2420.5300000000002</v>
      </c>
      <c r="F24" s="62">
        <v>9347.5400000000009</v>
      </c>
      <c r="H24" s="65" t="s">
        <v>131</v>
      </c>
      <c r="I24" s="66">
        <v>6376.21</v>
      </c>
      <c r="J24" s="66">
        <v>7470.25</v>
      </c>
      <c r="K24" s="66">
        <v>7095.76</v>
      </c>
      <c r="L24" s="66">
        <v>7276.05</v>
      </c>
      <c r="M24" s="66">
        <v>6639.17</v>
      </c>
      <c r="O24" s="58" t="s">
        <v>130</v>
      </c>
      <c r="P24" s="58">
        <v>-37.28</v>
      </c>
      <c r="Q24" s="58">
        <v>-3051.94</v>
      </c>
      <c r="R24" s="58">
        <v>1665.55</v>
      </c>
      <c r="S24" s="58">
        <v>1018.76</v>
      </c>
      <c r="T24" s="58">
        <v>9.85</v>
      </c>
      <c r="V24" s="67" t="s">
        <v>127</v>
      </c>
      <c r="W24" s="68">
        <v>2943.84</v>
      </c>
      <c r="X24" s="68">
        <v>2387.38</v>
      </c>
      <c r="Y24" s="68">
        <v>3448.56</v>
      </c>
      <c r="Z24" s="71">
        <v>13.26</v>
      </c>
      <c r="AA24" s="71">
        <v>712.32</v>
      </c>
    </row>
    <row r="25" spans="1:27" ht="12.5">
      <c r="A25" s="64" t="s">
        <v>132</v>
      </c>
      <c r="B25" s="64">
        <v>19696.849999999999</v>
      </c>
      <c r="C25" s="64">
        <v>16341.58</v>
      </c>
      <c r="D25" s="64">
        <v>14453.68</v>
      </c>
      <c r="E25" s="64">
        <v>12382.34</v>
      </c>
      <c r="F25" s="64">
        <v>7029.97</v>
      </c>
      <c r="H25" s="69" t="s">
        <v>133</v>
      </c>
      <c r="I25" s="70">
        <v>80912.490000000005</v>
      </c>
      <c r="J25" s="70">
        <v>73447.95</v>
      </c>
      <c r="K25" s="70">
        <v>64831.9</v>
      </c>
      <c r="L25" s="70">
        <v>60434.55</v>
      </c>
      <c r="M25" s="70">
        <v>57376.46</v>
      </c>
      <c r="O25" s="64" t="s">
        <v>132</v>
      </c>
      <c r="P25" s="64">
        <v>20828.79</v>
      </c>
      <c r="Q25" s="64">
        <v>10726.64</v>
      </c>
      <c r="R25" s="64">
        <v>4911.58</v>
      </c>
      <c r="S25" s="64">
        <v>1269.98</v>
      </c>
      <c r="T25" s="64">
        <v>-2274.77</v>
      </c>
      <c r="V25" s="67" t="s">
        <v>129</v>
      </c>
      <c r="W25" s="68">
        <v>2698.93</v>
      </c>
      <c r="X25" s="68">
        <v>4695.5200000000004</v>
      </c>
      <c r="Y25" s="68">
        <v>2222.9</v>
      </c>
      <c r="Z25" s="71">
        <v>856.75</v>
      </c>
      <c r="AA25" s="71">
        <v>116.47</v>
      </c>
    </row>
    <row r="26" spans="1:27" ht="12.5">
      <c r="A26" s="64" t="s">
        <v>134</v>
      </c>
      <c r="B26" s="64">
        <v>20811.89</v>
      </c>
      <c r="C26" s="64">
        <v>16912.55</v>
      </c>
      <c r="D26" s="64">
        <v>16675.900000000001</v>
      </c>
      <c r="E26" s="64">
        <v>14634.63</v>
      </c>
      <c r="F26" s="64">
        <v>6728.22</v>
      </c>
      <c r="H26" s="69" t="s">
        <v>135</v>
      </c>
      <c r="I26" s="75" t="s">
        <v>136</v>
      </c>
      <c r="J26" s="75" t="s">
        <v>137</v>
      </c>
      <c r="K26" s="75" t="s">
        <v>138</v>
      </c>
      <c r="L26" s="75" t="s">
        <v>139</v>
      </c>
      <c r="M26" s="75" t="s">
        <v>140</v>
      </c>
      <c r="O26" s="64" t="s">
        <v>134</v>
      </c>
      <c r="P26" s="64">
        <v>20828.79</v>
      </c>
      <c r="Q26" s="64">
        <v>10726.64</v>
      </c>
      <c r="R26" s="64">
        <v>4911.58</v>
      </c>
      <c r="S26" s="64">
        <v>1269.98</v>
      </c>
      <c r="T26" s="64">
        <v>-2274.77</v>
      </c>
      <c r="V26" s="67" t="s">
        <v>131</v>
      </c>
      <c r="W26" s="71">
        <v>14.57</v>
      </c>
      <c r="X26" s="71">
        <v>13.39</v>
      </c>
      <c r="Y26" s="71">
        <v>12.94</v>
      </c>
      <c r="Z26" s="71">
        <v>1.23</v>
      </c>
      <c r="AA26" s="71">
        <v>1.28</v>
      </c>
    </row>
    <row r="27" spans="1:27" ht="12.5">
      <c r="A27" s="64" t="s">
        <v>141</v>
      </c>
      <c r="B27" s="64">
        <v>20811.89</v>
      </c>
      <c r="C27" s="64">
        <v>16912.55</v>
      </c>
      <c r="D27" s="64">
        <v>16675.900000000001</v>
      </c>
      <c r="E27" s="64">
        <v>14634.63</v>
      </c>
      <c r="F27" s="64">
        <v>11600.23</v>
      </c>
      <c r="H27" s="59" t="s">
        <v>142</v>
      </c>
      <c r="I27" s="59"/>
      <c r="J27" s="60"/>
      <c r="K27" s="60"/>
      <c r="L27" s="60"/>
      <c r="M27" s="60"/>
      <c r="O27" s="64" t="s">
        <v>141</v>
      </c>
      <c r="P27" s="64">
        <v>20828.79</v>
      </c>
      <c r="Q27" s="64">
        <v>10726.64</v>
      </c>
      <c r="R27" s="64">
        <v>4911.58</v>
      </c>
      <c r="S27" s="64">
        <v>1269.98</v>
      </c>
      <c r="T27" s="64">
        <v>-3159.02</v>
      </c>
      <c r="V27" s="73" t="s">
        <v>133</v>
      </c>
      <c r="W27" s="74">
        <v>12416.33</v>
      </c>
      <c r="X27" s="74">
        <v>14924.01</v>
      </c>
      <c r="Y27" s="74">
        <v>15617.2</v>
      </c>
      <c r="Z27" s="74">
        <v>6164.41</v>
      </c>
      <c r="AA27" s="74">
        <v>3419.09</v>
      </c>
    </row>
    <row r="28" spans="1:27" ht="14">
      <c r="A28" s="64" t="s">
        <v>143</v>
      </c>
      <c r="B28" s="64">
        <v>21.46</v>
      </c>
      <c r="C28" s="64">
        <v>17.440000000000001</v>
      </c>
      <c r="D28" s="64">
        <v>17.2</v>
      </c>
      <c r="E28" s="64">
        <v>15.09</v>
      </c>
      <c r="F28" s="83"/>
      <c r="H28" s="59" t="s">
        <v>144</v>
      </c>
      <c r="I28" s="59"/>
      <c r="J28" s="60"/>
      <c r="K28" s="60"/>
      <c r="L28" s="60"/>
      <c r="M28" s="60"/>
      <c r="N28" s="76"/>
      <c r="O28" s="84" t="s">
        <v>143</v>
      </c>
      <c r="P28" s="84">
        <v>51.62</v>
      </c>
      <c r="Q28" s="84">
        <v>24.57</v>
      </c>
      <c r="R28" s="84">
        <v>9.6300000000000008</v>
      </c>
      <c r="S28" s="64">
        <v>3.29</v>
      </c>
      <c r="T28" s="64">
        <v>-5.9</v>
      </c>
      <c r="V28" s="73" t="s">
        <v>135</v>
      </c>
      <c r="W28" s="74">
        <v>75171.95</v>
      </c>
      <c r="X28" s="74">
        <v>72831.95</v>
      </c>
      <c r="Y28" s="74">
        <v>71766.179999999993</v>
      </c>
      <c r="Z28" s="74">
        <v>24408.43</v>
      </c>
      <c r="AA28" s="74">
        <v>22530.29</v>
      </c>
    </row>
    <row r="29" spans="1:27" ht="14.5">
      <c r="A29" s="56"/>
      <c r="B29" s="57"/>
      <c r="C29" s="57"/>
      <c r="D29" s="57"/>
      <c r="E29" s="57"/>
      <c r="F29" s="57"/>
      <c r="H29" s="65" t="s">
        <v>145</v>
      </c>
      <c r="I29" s="72" t="s">
        <v>146</v>
      </c>
      <c r="J29" s="72" t="s">
        <v>147</v>
      </c>
      <c r="K29" s="72" t="s">
        <v>148</v>
      </c>
      <c r="L29" s="72" t="s">
        <v>149</v>
      </c>
      <c r="M29" s="72" t="s">
        <v>150</v>
      </c>
      <c r="N29" s="85"/>
      <c r="O29" s="79"/>
      <c r="P29" s="79"/>
      <c r="Q29" s="79"/>
      <c r="R29" s="79"/>
      <c r="V29" s="169" t="s">
        <v>142</v>
      </c>
      <c r="W29" s="159"/>
      <c r="X29" s="63"/>
      <c r="Y29" s="63"/>
      <c r="Z29" s="63"/>
      <c r="AA29" s="63"/>
    </row>
    <row r="30" spans="1:27" ht="14">
      <c r="H30" s="65" t="s">
        <v>151</v>
      </c>
      <c r="I30" s="72">
        <v>427.69</v>
      </c>
      <c r="J30" s="72">
        <v>454.17</v>
      </c>
      <c r="K30" s="72">
        <v>485.41</v>
      </c>
      <c r="L30" s="72">
        <v>556.74</v>
      </c>
      <c r="M30" s="72">
        <v>538.28</v>
      </c>
      <c r="N30" s="79"/>
      <c r="O30" s="79"/>
      <c r="P30" s="79"/>
      <c r="Q30" s="79"/>
      <c r="R30" s="79"/>
      <c r="V30" s="169" t="s">
        <v>144</v>
      </c>
      <c r="W30" s="159"/>
      <c r="X30" s="63"/>
      <c r="Y30" s="63"/>
      <c r="Z30" s="63"/>
      <c r="AA30" s="63"/>
    </row>
    <row r="31" spans="1:27" ht="14">
      <c r="H31" s="65" t="s">
        <v>152</v>
      </c>
      <c r="I31" s="66">
        <v>47153.81</v>
      </c>
      <c r="J31" s="66">
        <v>61743.88</v>
      </c>
      <c r="K31" s="66">
        <v>68598.66</v>
      </c>
      <c r="L31" s="66">
        <v>75343.600000000006</v>
      </c>
      <c r="M31" s="66">
        <v>73066.759999999995</v>
      </c>
      <c r="N31" s="79"/>
      <c r="O31" s="79"/>
      <c r="P31" s="79"/>
      <c r="Q31" s="82"/>
      <c r="R31" s="82"/>
      <c r="V31" s="67" t="s">
        <v>145</v>
      </c>
      <c r="W31" s="68">
        <v>43638.07</v>
      </c>
      <c r="X31" s="68">
        <v>46380.45</v>
      </c>
      <c r="Y31" s="68">
        <v>49139.79</v>
      </c>
      <c r="Z31" s="71">
        <v>540.92999999999995</v>
      </c>
      <c r="AA31" s="71">
        <v>569.26</v>
      </c>
    </row>
    <row r="32" spans="1:27" ht="14">
      <c r="H32" s="65" t="s">
        <v>153</v>
      </c>
      <c r="I32" s="72">
        <v>3.19</v>
      </c>
      <c r="J32" s="72">
        <v>44.92</v>
      </c>
      <c r="K32" s="72">
        <v>98.47</v>
      </c>
      <c r="L32" s="72">
        <v>94.9</v>
      </c>
      <c r="M32" s="72">
        <v>292.52</v>
      </c>
      <c r="N32" s="79"/>
      <c r="O32" s="79"/>
      <c r="P32" s="79"/>
      <c r="Q32" s="79"/>
      <c r="R32" s="79"/>
      <c r="V32" s="67" t="s">
        <v>151</v>
      </c>
      <c r="W32" s="71">
        <v>200.74</v>
      </c>
      <c r="X32" s="71">
        <v>202.34</v>
      </c>
      <c r="Y32" s="71">
        <v>202.49</v>
      </c>
      <c r="Z32" s="71">
        <v>0.06</v>
      </c>
      <c r="AA32" s="71">
        <v>0.82</v>
      </c>
    </row>
    <row r="33" spans="8:27" ht="14">
      <c r="H33" s="65" t="s">
        <v>154</v>
      </c>
      <c r="I33" s="72">
        <v>859.9</v>
      </c>
      <c r="J33" s="72">
        <v>465.18</v>
      </c>
      <c r="K33" s="72">
        <v>0</v>
      </c>
      <c r="L33" s="72">
        <v>0</v>
      </c>
      <c r="M33" s="72">
        <v>0</v>
      </c>
      <c r="N33" s="76"/>
      <c r="O33" s="76"/>
      <c r="P33" s="76"/>
      <c r="Q33" s="76"/>
      <c r="R33" s="76"/>
      <c r="V33" s="67" t="s">
        <v>152</v>
      </c>
      <c r="W33" s="71">
        <v>739.49</v>
      </c>
      <c r="X33" s="71">
        <v>188.33</v>
      </c>
      <c r="Y33" s="71">
        <v>184.3</v>
      </c>
      <c r="Z33" s="71">
        <v>0.67</v>
      </c>
      <c r="AA33" s="71">
        <v>0.13</v>
      </c>
    </row>
    <row r="34" spans="8:27" ht="14">
      <c r="H34" s="69" t="s">
        <v>155</v>
      </c>
      <c r="I34" s="75" t="s">
        <v>156</v>
      </c>
      <c r="J34" s="75" t="s">
        <v>157</v>
      </c>
      <c r="K34" s="75" t="s">
        <v>158</v>
      </c>
      <c r="L34" s="75" t="s">
        <v>159</v>
      </c>
      <c r="M34" s="75" t="s">
        <v>160</v>
      </c>
      <c r="N34" s="79"/>
      <c r="O34" s="79"/>
      <c r="P34" s="79"/>
      <c r="Q34" s="79"/>
      <c r="R34" s="79"/>
      <c r="V34" s="73" t="s">
        <v>155</v>
      </c>
      <c r="W34" s="74">
        <v>44578.3</v>
      </c>
      <c r="X34" s="74">
        <v>46771.12</v>
      </c>
      <c r="Y34" s="74">
        <v>49526.58</v>
      </c>
      <c r="Z34" s="86">
        <v>541.66</v>
      </c>
      <c r="AA34" s="86">
        <v>570.21</v>
      </c>
    </row>
    <row r="35" spans="8:27" ht="14">
      <c r="H35" s="65" t="s">
        <v>161</v>
      </c>
      <c r="I35" s="66">
        <v>33107.93</v>
      </c>
      <c r="J35" s="66">
        <v>29719.75</v>
      </c>
      <c r="K35" s="66">
        <v>29881.07</v>
      </c>
      <c r="L35" s="66">
        <v>28125.65</v>
      </c>
      <c r="M35" s="66">
        <v>26400.89</v>
      </c>
      <c r="N35" s="79"/>
      <c r="O35" s="79"/>
      <c r="P35" s="79"/>
      <c r="Q35" s="79"/>
      <c r="R35" s="79"/>
      <c r="V35" s="67" t="s">
        <v>161</v>
      </c>
      <c r="W35" s="68">
        <v>6906.84</v>
      </c>
      <c r="X35" s="68">
        <v>6373.48</v>
      </c>
      <c r="Y35" s="68">
        <v>4658.49</v>
      </c>
      <c r="Z35" s="68">
        <v>19358.650000000001</v>
      </c>
      <c r="AA35" s="68">
        <v>18216.25</v>
      </c>
    </row>
    <row r="36" spans="8:27" ht="14">
      <c r="H36" s="65" t="s">
        <v>162</v>
      </c>
      <c r="I36" s="72">
        <v>800.66</v>
      </c>
      <c r="J36" s="66">
        <v>1233.47</v>
      </c>
      <c r="K36" s="66">
        <v>1288.4000000000001</v>
      </c>
      <c r="L36" s="66">
        <v>1498.12</v>
      </c>
      <c r="M36" s="72">
        <v>600.26</v>
      </c>
      <c r="N36" s="79"/>
      <c r="O36" s="79"/>
      <c r="P36" s="79"/>
      <c r="Q36" s="79"/>
      <c r="R36" s="79"/>
      <c r="V36" s="67" t="s">
        <v>163</v>
      </c>
      <c r="W36" s="71">
        <v>376.34</v>
      </c>
      <c r="X36" s="71">
        <v>0</v>
      </c>
      <c r="Y36" s="71">
        <v>0</v>
      </c>
      <c r="Z36" s="71">
        <v>0</v>
      </c>
      <c r="AA36" s="71">
        <v>0</v>
      </c>
    </row>
    <row r="37" spans="8:27" ht="14">
      <c r="H37" s="65" t="s">
        <v>164</v>
      </c>
      <c r="I37" s="66">
        <v>13734.78</v>
      </c>
      <c r="J37" s="66">
        <v>15676.35</v>
      </c>
      <c r="K37" s="66">
        <v>13101.2</v>
      </c>
      <c r="L37" s="66">
        <v>14978.86</v>
      </c>
      <c r="M37" s="66">
        <v>12547.78</v>
      </c>
      <c r="N37" s="79"/>
      <c r="O37" s="79"/>
      <c r="P37" s="79"/>
      <c r="Q37" s="79"/>
      <c r="R37" s="79"/>
      <c r="V37" s="67" t="s">
        <v>162</v>
      </c>
      <c r="W37" s="68">
        <v>1555.23</v>
      </c>
      <c r="X37" s="68">
        <v>1251.78</v>
      </c>
      <c r="Y37" s="71">
        <v>609.54</v>
      </c>
      <c r="Z37" s="68">
        <v>3583.2</v>
      </c>
      <c r="AA37" s="68">
        <v>3230.92</v>
      </c>
    </row>
    <row r="38" spans="8:27" ht="12.5">
      <c r="H38" s="69" t="s">
        <v>165</v>
      </c>
      <c r="I38" s="75" t="s">
        <v>166</v>
      </c>
      <c r="J38" s="75" t="s">
        <v>167</v>
      </c>
      <c r="K38" s="75" t="s">
        <v>168</v>
      </c>
      <c r="L38" s="75" t="s">
        <v>169</v>
      </c>
      <c r="M38" s="75" t="s">
        <v>170</v>
      </c>
      <c r="V38" s="67" t="s">
        <v>164</v>
      </c>
      <c r="W38" s="68">
        <v>1104.42</v>
      </c>
      <c r="X38" s="68">
        <v>1237.44</v>
      </c>
      <c r="Y38" s="68">
        <v>1421.66</v>
      </c>
      <c r="Z38" s="71">
        <v>24.29</v>
      </c>
      <c r="AA38" s="71">
        <v>34.950000000000003</v>
      </c>
    </row>
    <row r="39" spans="8:27" ht="12.5">
      <c r="H39" s="59" t="s">
        <v>171</v>
      </c>
      <c r="I39" s="59"/>
      <c r="J39" s="60"/>
      <c r="K39" s="60"/>
      <c r="L39" s="60"/>
      <c r="M39" s="60"/>
      <c r="V39" s="73" t="s">
        <v>165</v>
      </c>
      <c r="W39" s="74">
        <v>54521.13</v>
      </c>
      <c r="X39" s="74">
        <v>55633.82</v>
      </c>
      <c r="Y39" s="74">
        <v>56216.27</v>
      </c>
      <c r="Z39" s="74">
        <v>23507.8</v>
      </c>
      <c r="AA39" s="74">
        <v>22052.33</v>
      </c>
    </row>
    <row r="40" spans="8:27" ht="12.5">
      <c r="H40" s="65" t="s">
        <v>172</v>
      </c>
      <c r="I40" s="72">
        <v>50</v>
      </c>
      <c r="J40" s="72">
        <v>50</v>
      </c>
      <c r="K40" s="72">
        <v>0</v>
      </c>
      <c r="L40" s="72">
        <v>499.99</v>
      </c>
      <c r="M40" s="72">
        <v>0</v>
      </c>
      <c r="V40" s="169" t="s">
        <v>171</v>
      </c>
      <c r="W40" s="159"/>
      <c r="X40" s="63"/>
      <c r="Y40" s="63"/>
      <c r="Z40" s="63"/>
      <c r="AA40" s="63"/>
    </row>
    <row r="41" spans="8:27" ht="12.5">
      <c r="H41" s="65" t="s">
        <v>173</v>
      </c>
      <c r="I41" s="66">
        <v>17369.830000000002</v>
      </c>
      <c r="J41" s="66">
        <v>13679.75</v>
      </c>
      <c r="K41" s="66">
        <v>9487.2099999999991</v>
      </c>
      <c r="L41" s="66">
        <v>9178.94</v>
      </c>
      <c r="M41" s="66">
        <v>10731.86</v>
      </c>
      <c r="V41" s="67" t="s">
        <v>172</v>
      </c>
      <c r="W41" s="71">
        <v>373.5</v>
      </c>
      <c r="X41" s="71">
        <v>0</v>
      </c>
      <c r="Y41" s="71">
        <v>175.01</v>
      </c>
      <c r="Z41" s="71">
        <v>0</v>
      </c>
      <c r="AA41" s="71">
        <v>0</v>
      </c>
    </row>
    <row r="42" spans="8:27" ht="12.5">
      <c r="H42" s="65" t="s">
        <v>174</v>
      </c>
      <c r="I42" s="66">
        <v>27347.52</v>
      </c>
      <c r="J42" s="66">
        <v>24741.45</v>
      </c>
      <c r="K42" s="66">
        <v>22293.32</v>
      </c>
      <c r="L42" s="66">
        <v>13701.72</v>
      </c>
      <c r="M42" s="66">
        <v>15668.11</v>
      </c>
      <c r="V42" s="67" t="s">
        <v>173</v>
      </c>
      <c r="W42" s="68">
        <v>3474.89</v>
      </c>
      <c r="X42" s="68">
        <v>2324.0700000000002</v>
      </c>
      <c r="Y42" s="68">
        <v>2208.0700000000002</v>
      </c>
      <c r="Z42" s="71">
        <v>2.54</v>
      </c>
      <c r="AA42" s="71">
        <v>4.0599999999999996</v>
      </c>
    </row>
    <row r="43" spans="8:27" ht="12.5">
      <c r="H43" s="65" t="s">
        <v>175</v>
      </c>
      <c r="I43" s="66">
        <v>4600.5</v>
      </c>
      <c r="J43" s="66">
        <v>3741.73</v>
      </c>
      <c r="K43" s="66">
        <v>2455.59</v>
      </c>
      <c r="L43" s="66">
        <v>2338.46</v>
      </c>
      <c r="M43" s="66">
        <v>2209.11</v>
      </c>
      <c r="V43" s="67" t="s">
        <v>174</v>
      </c>
      <c r="W43" s="68">
        <v>6695.19</v>
      </c>
      <c r="X43" s="68">
        <v>11380.93</v>
      </c>
      <c r="Y43" s="68">
        <v>9490.01</v>
      </c>
      <c r="Z43" s="71">
        <v>9.65</v>
      </c>
      <c r="AA43" s="71">
        <v>366.81</v>
      </c>
    </row>
    <row r="44" spans="8:27" ht="12.5">
      <c r="H44" s="65" t="s">
        <v>176</v>
      </c>
      <c r="I44" s="72">
        <v>415.85</v>
      </c>
      <c r="J44" s="72">
        <v>312.45</v>
      </c>
      <c r="K44" s="72">
        <v>477.7</v>
      </c>
      <c r="L44" s="72">
        <v>416.82</v>
      </c>
      <c r="M44" s="72">
        <v>308.56</v>
      </c>
      <c r="V44" s="67" t="s">
        <v>175</v>
      </c>
      <c r="W44" s="68">
        <v>5693.72</v>
      </c>
      <c r="X44" s="68">
        <v>1692.34</v>
      </c>
      <c r="Y44" s="68">
        <v>2014.95</v>
      </c>
      <c r="Z44" s="71">
        <v>86.61</v>
      </c>
      <c r="AA44" s="71">
        <v>101.02</v>
      </c>
    </row>
    <row r="45" spans="8:27" ht="12.5">
      <c r="H45" s="65" t="s">
        <v>177</v>
      </c>
      <c r="I45" s="66">
        <v>36099.440000000002</v>
      </c>
      <c r="J45" s="66">
        <v>34082.449999999997</v>
      </c>
      <c r="K45" s="66">
        <v>26749.4</v>
      </c>
      <c r="L45" s="66">
        <v>32593.47</v>
      </c>
      <c r="M45" s="66">
        <v>29030.3</v>
      </c>
      <c r="V45" s="67" t="s">
        <v>176</v>
      </c>
      <c r="W45" s="68">
        <v>2820.67</v>
      </c>
      <c r="X45" s="71">
        <v>3.06</v>
      </c>
      <c r="Y45" s="71">
        <v>3.18</v>
      </c>
      <c r="Z45" s="71">
        <v>3.96</v>
      </c>
      <c r="AA45" s="71">
        <v>0.22</v>
      </c>
    </row>
    <row r="46" spans="8:27" ht="12.5">
      <c r="H46" s="69" t="s">
        <v>178</v>
      </c>
      <c r="I46" s="70">
        <v>85883.14</v>
      </c>
      <c r="J46" s="70">
        <v>76607.83</v>
      </c>
      <c r="K46" s="70">
        <v>61463.22</v>
      </c>
      <c r="L46" s="70">
        <v>58729.4</v>
      </c>
      <c r="M46" s="70">
        <v>57947.94</v>
      </c>
      <c r="V46" s="67" t="s">
        <v>177</v>
      </c>
      <c r="W46" s="68">
        <v>1592.85</v>
      </c>
      <c r="X46" s="68">
        <v>1797.73</v>
      </c>
      <c r="Y46" s="68">
        <v>1658.69</v>
      </c>
      <c r="Z46" s="71">
        <v>797.87</v>
      </c>
      <c r="AA46" s="71">
        <v>5.85</v>
      </c>
    </row>
    <row r="47" spans="8:27" ht="12.5">
      <c r="H47" s="69" t="s">
        <v>179</v>
      </c>
      <c r="I47" s="75" t="s">
        <v>136</v>
      </c>
      <c r="J47" s="75" t="s">
        <v>137</v>
      </c>
      <c r="K47" s="75" t="s">
        <v>138</v>
      </c>
      <c r="L47" s="75" t="s">
        <v>139</v>
      </c>
      <c r="M47" s="75" t="s">
        <v>140</v>
      </c>
      <c r="V47" s="73" t="s">
        <v>178</v>
      </c>
      <c r="W47" s="74">
        <v>20650.82</v>
      </c>
      <c r="X47" s="74">
        <v>17198.13</v>
      </c>
      <c r="Y47" s="74">
        <v>15549.91</v>
      </c>
      <c r="Z47" s="86">
        <v>900.63</v>
      </c>
      <c r="AA47" s="86">
        <v>477.96</v>
      </c>
    </row>
    <row r="48" spans="8:27" ht="14.5">
      <c r="K48" s="56"/>
      <c r="L48" s="57"/>
      <c r="M48" s="57"/>
      <c r="N48" s="57"/>
      <c r="O48" s="57"/>
      <c r="P48" s="57"/>
    </row>
    <row r="49" spans="1:27" ht="14.5">
      <c r="K49" s="87"/>
      <c r="L49" s="88"/>
      <c r="M49" s="88"/>
      <c r="N49" s="88"/>
      <c r="O49" s="88"/>
      <c r="P49" s="88"/>
    </row>
    <row r="50" spans="1:27" ht="14.5">
      <c r="K50" s="87"/>
      <c r="L50" s="88"/>
      <c r="M50" s="88"/>
      <c r="N50" s="88"/>
      <c r="O50" s="88"/>
      <c r="P50" s="88"/>
    </row>
    <row r="51" spans="1:27" ht="14.5">
      <c r="K51" s="87"/>
      <c r="L51" s="88"/>
      <c r="M51" s="88"/>
      <c r="N51" s="88"/>
      <c r="O51" s="88"/>
      <c r="P51" s="88"/>
    </row>
    <row r="52" spans="1:27" ht="14.5">
      <c r="A52" s="166" t="s">
        <v>7</v>
      </c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88"/>
    </row>
    <row r="53" spans="1:27" ht="14.5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88"/>
    </row>
    <row r="54" spans="1:27" ht="14.5">
      <c r="A54" s="167" t="s">
        <v>73</v>
      </c>
      <c r="B54" s="151"/>
      <c r="C54" s="151"/>
      <c r="D54" s="151"/>
      <c r="E54" s="151"/>
      <c r="F54" s="151"/>
      <c r="H54" s="168" t="s">
        <v>74</v>
      </c>
      <c r="I54" s="151"/>
      <c r="J54" s="151"/>
      <c r="K54" s="151"/>
      <c r="L54" s="151"/>
      <c r="M54" s="151"/>
      <c r="N54" s="88"/>
      <c r="O54" s="166" t="s">
        <v>180</v>
      </c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</row>
    <row r="55" spans="1:27" ht="14.5">
      <c r="A55" s="21"/>
      <c r="B55" s="53">
        <v>45740</v>
      </c>
      <c r="C55" s="53">
        <v>45739</v>
      </c>
      <c r="D55" s="53">
        <v>45738</v>
      </c>
      <c r="E55" s="53">
        <v>45737</v>
      </c>
      <c r="F55" s="53">
        <v>45736</v>
      </c>
      <c r="H55" s="21"/>
      <c r="I55" s="53">
        <v>45740</v>
      </c>
      <c r="J55" s="53">
        <v>45739</v>
      </c>
      <c r="K55" s="53">
        <v>45738</v>
      </c>
      <c r="L55" s="53">
        <v>45737</v>
      </c>
      <c r="M55" s="53">
        <v>45736</v>
      </c>
      <c r="N55" s="57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</row>
    <row r="56" spans="1:27" ht="14.5">
      <c r="K56" s="87"/>
      <c r="L56" s="88"/>
      <c r="M56" s="88"/>
      <c r="N56" s="88"/>
      <c r="O56" s="167" t="s">
        <v>73</v>
      </c>
      <c r="P56" s="151"/>
      <c r="Q56" s="151"/>
      <c r="R56" s="151"/>
      <c r="S56" s="151"/>
      <c r="T56" s="151"/>
      <c r="V56" s="168" t="s">
        <v>74</v>
      </c>
      <c r="W56" s="151"/>
      <c r="X56" s="151"/>
      <c r="Y56" s="151"/>
      <c r="Z56" s="151"/>
      <c r="AA56" s="151"/>
    </row>
    <row r="57" spans="1:27" ht="14.5">
      <c r="A57" s="89" t="s">
        <v>75</v>
      </c>
      <c r="B57" s="90">
        <v>61448.9</v>
      </c>
      <c r="C57" s="90">
        <v>55109.08</v>
      </c>
      <c r="D57" s="90">
        <v>42815.67</v>
      </c>
      <c r="E57" s="90">
        <v>32468.1</v>
      </c>
      <c r="F57" s="90">
        <v>28147.599999999999</v>
      </c>
      <c r="H57" s="170" t="s">
        <v>77</v>
      </c>
      <c r="I57" s="159"/>
      <c r="J57" s="91"/>
      <c r="K57" s="91"/>
      <c r="L57" s="91"/>
      <c r="M57" s="91"/>
      <c r="N57" s="88"/>
      <c r="O57" s="21"/>
      <c r="P57" s="53">
        <v>45740</v>
      </c>
      <c r="Q57" s="53">
        <v>45739</v>
      </c>
      <c r="R57" s="53">
        <v>45738</v>
      </c>
      <c r="S57" s="53">
        <v>45737</v>
      </c>
      <c r="T57" s="53">
        <v>45736</v>
      </c>
      <c r="V57" s="21"/>
      <c r="W57" s="53">
        <v>45740</v>
      </c>
      <c r="X57" s="53">
        <v>45739</v>
      </c>
      <c r="Y57" s="53">
        <v>45738</v>
      </c>
      <c r="Z57" s="53">
        <v>45737</v>
      </c>
      <c r="AA57" s="53">
        <v>45736</v>
      </c>
    </row>
    <row r="58" spans="1:27" ht="14.5">
      <c r="A58" s="92" t="s">
        <v>113</v>
      </c>
      <c r="B58" s="93">
        <v>-2443.0100000000002</v>
      </c>
      <c r="C58" s="93">
        <v>-4371.6499999999996</v>
      </c>
      <c r="D58" s="93">
        <v>-1385.97</v>
      </c>
      <c r="E58" s="93">
        <v>2231.36</v>
      </c>
      <c r="F58" s="93">
        <v>0</v>
      </c>
      <c r="H58" s="170" t="s">
        <v>79</v>
      </c>
      <c r="I58" s="159"/>
      <c r="J58" s="91"/>
      <c r="K58" s="91"/>
      <c r="L58" s="91"/>
      <c r="M58" s="91"/>
      <c r="N58" s="88"/>
    </row>
    <row r="59" spans="1:27" ht="14.5">
      <c r="A59" s="94" t="s">
        <v>80</v>
      </c>
      <c r="B59" s="95">
        <v>59084.66</v>
      </c>
      <c r="C59" s="95">
        <v>55213.61</v>
      </c>
      <c r="D59" s="95">
        <v>42285.72</v>
      </c>
      <c r="E59" s="95">
        <v>32295.75</v>
      </c>
      <c r="F59" s="95">
        <v>23551.82</v>
      </c>
      <c r="H59" s="96" t="s">
        <v>81</v>
      </c>
      <c r="I59" s="91">
        <v>319.56</v>
      </c>
      <c r="J59" s="91">
        <v>319.56</v>
      </c>
      <c r="K59" s="91">
        <v>319.56</v>
      </c>
      <c r="L59" s="91">
        <v>319.56</v>
      </c>
      <c r="M59" s="91">
        <v>270.5</v>
      </c>
      <c r="N59" s="88"/>
      <c r="O59" s="55" t="s">
        <v>75</v>
      </c>
      <c r="P59" s="55">
        <v>175006</v>
      </c>
      <c r="Q59" s="55">
        <v>165960</v>
      </c>
      <c r="R59" s="55">
        <v>146371</v>
      </c>
      <c r="S59" s="55">
        <v>79839</v>
      </c>
      <c r="T59" s="55">
        <v>73326</v>
      </c>
      <c r="U59" s="97"/>
      <c r="V59" s="162" t="s">
        <v>77</v>
      </c>
      <c r="W59" s="159"/>
      <c r="X59" s="98"/>
      <c r="Y59" s="98"/>
      <c r="Z59" s="98"/>
      <c r="AA59" s="98"/>
    </row>
    <row r="60" spans="1:27" ht="14.5">
      <c r="A60" s="92" t="s">
        <v>130</v>
      </c>
      <c r="B60" s="93">
        <v>1451.92</v>
      </c>
      <c r="C60" s="93">
        <v>1647.33</v>
      </c>
      <c r="D60" s="93">
        <v>379.56</v>
      </c>
      <c r="E60" s="93">
        <v>501.88</v>
      </c>
      <c r="F60" s="93">
        <v>800.74</v>
      </c>
      <c r="H60" s="99" t="s">
        <v>83</v>
      </c>
      <c r="I60" s="100">
        <v>319.56</v>
      </c>
      <c r="J60" s="100">
        <v>319.56</v>
      </c>
      <c r="K60" s="100">
        <v>319.56</v>
      </c>
      <c r="L60" s="100">
        <v>319.56</v>
      </c>
      <c r="M60" s="100">
        <v>270.5</v>
      </c>
      <c r="N60" s="88"/>
      <c r="O60" s="58" t="s">
        <v>76</v>
      </c>
      <c r="P60" s="58">
        <v>129568</v>
      </c>
      <c r="Q60" s="58">
        <v>118243</v>
      </c>
      <c r="R60" s="58">
        <v>84453</v>
      </c>
      <c r="S60" s="58">
        <v>42788</v>
      </c>
      <c r="T60" s="58">
        <v>49434</v>
      </c>
      <c r="U60" s="97"/>
      <c r="V60" s="162" t="s">
        <v>79</v>
      </c>
      <c r="W60" s="159"/>
      <c r="X60" s="101"/>
      <c r="Y60" s="101"/>
      <c r="Z60" s="101"/>
      <c r="AA60" s="101"/>
    </row>
    <row r="61" spans="1:27" ht="14.5">
      <c r="A61" s="102" t="s">
        <v>82</v>
      </c>
      <c r="B61" s="103">
        <v>0</v>
      </c>
      <c r="C61" s="103">
        <v>402.86</v>
      </c>
      <c r="D61" s="103">
        <v>323.93</v>
      </c>
      <c r="E61" s="103">
        <v>221.75</v>
      </c>
      <c r="F61" s="103">
        <v>1879</v>
      </c>
      <c r="H61" s="96" t="s">
        <v>86</v>
      </c>
      <c r="I61" s="104">
        <v>15468.1</v>
      </c>
      <c r="J61" s="104">
        <v>13380.03</v>
      </c>
      <c r="K61" s="104">
        <v>10560.24</v>
      </c>
      <c r="L61" s="104">
        <v>16559</v>
      </c>
      <c r="M61" s="104">
        <v>13491.47</v>
      </c>
      <c r="N61" s="88"/>
      <c r="O61" s="62" t="s">
        <v>78</v>
      </c>
      <c r="P61" s="62">
        <v>45438</v>
      </c>
      <c r="Q61" s="62">
        <v>45403</v>
      </c>
      <c r="R61" s="62">
        <v>61918</v>
      </c>
      <c r="S61" s="62">
        <v>35271</v>
      </c>
      <c r="T61" s="62">
        <v>23892</v>
      </c>
      <c r="U61" s="97"/>
      <c r="V61" s="105" t="s">
        <v>81</v>
      </c>
      <c r="W61" s="106">
        <v>305</v>
      </c>
      <c r="X61" s="106">
        <v>301</v>
      </c>
      <c r="Y61" s="106">
        <v>301</v>
      </c>
      <c r="Z61" s="106">
        <v>302</v>
      </c>
      <c r="AA61" s="106">
        <v>301</v>
      </c>
    </row>
    <row r="62" spans="1:27" ht="14.5">
      <c r="A62" s="92" t="s">
        <v>92</v>
      </c>
      <c r="B62" s="93">
        <v>0</v>
      </c>
      <c r="C62" s="93">
        <v>1.33</v>
      </c>
      <c r="D62" s="93">
        <v>0</v>
      </c>
      <c r="E62" s="93">
        <v>3.07</v>
      </c>
      <c r="F62" s="93">
        <v>0</v>
      </c>
      <c r="H62" s="99" t="s">
        <v>93</v>
      </c>
      <c r="I62" s="107">
        <v>15468.1</v>
      </c>
      <c r="J62" s="107">
        <v>13380.03</v>
      </c>
      <c r="K62" s="107">
        <v>10560.24</v>
      </c>
      <c r="L62" s="107">
        <v>16559</v>
      </c>
      <c r="M62" s="107">
        <v>13491.47</v>
      </c>
      <c r="N62" s="57"/>
      <c r="O62" s="64" t="s">
        <v>80</v>
      </c>
      <c r="P62" s="64">
        <v>163047</v>
      </c>
      <c r="Q62" s="64">
        <v>161789</v>
      </c>
      <c r="R62" s="64">
        <v>118333</v>
      </c>
      <c r="S62" s="64">
        <v>68334</v>
      </c>
      <c r="T62" s="64">
        <v>69964</v>
      </c>
      <c r="U62" s="97"/>
      <c r="V62" s="108" t="s">
        <v>83</v>
      </c>
      <c r="W62" s="109">
        <v>305</v>
      </c>
      <c r="X62" s="109">
        <v>301</v>
      </c>
      <c r="Y62" s="109">
        <v>301</v>
      </c>
      <c r="Z62" s="109">
        <v>302</v>
      </c>
      <c r="AA62" s="109">
        <v>301</v>
      </c>
    </row>
    <row r="63" spans="1:27" ht="14.5">
      <c r="A63" s="102" t="s">
        <v>94</v>
      </c>
      <c r="B63" s="103">
        <v>12.2</v>
      </c>
      <c r="C63" s="103">
        <v>17.059999999999999</v>
      </c>
      <c r="D63" s="103">
        <v>0</v>
      </c>
      <c r="E63" s="103">
        <v>0</v>
      </c>
      <c r="F63" s="103">
        <v>0</v>
      </c>
      <c r="H63" s="99" t="s">
        <v>95</v>
      </c>
      <c r="I63" s="107">
        <v>15787.66</v>
      </c>
      <c r="J63" s="107">
        <v>13699.59</v>
      </c>
      <c r="K63" s="107">
        <v>10879.8</v>
      </c>
      <c r="L63" s="107">
        <v>16878.560000000001</v>
      </c>
      <c r="M63" s="107">
        <v>13761.97</v>
      </c>
      <c r="N63" s="57"/>
      <c r="O63" s="62" t="s">
        <v>82</v>
      </c>
      <c r="P63" s="62">
        <v>0</v>
      </c>
      <c r="Q63" s="62">
        <v>3915</v>
      </c>
      <c r="R63" s="62">
        <v>3493</v>
      </c>
      <c r="S63" s="62">
        <v>196</v>
      </c>
      <c r="T63" s="62">
        <v>4577</v>
      </c>
      <c r="U63" s="97"/>
      <c r="V63" s="105" t="s">
        <v>86</v>
      </c>
      <c r="W63" s="110">
        <v>74978</v>
      </c>
      <c r="X63" s="110">
        <v>63358</v>
      </c>
      <c r="Y63" s="110">
        <v>63200</v>
      </c>
      <c r="Z63" s="110">
        <v>46675</v>
      </c>
      <c r="AA63" s="110">
        <v>38061</v>
      </c>
    </row>
    <row r="64" spans="1:27" ht="14.5">
      <c r="A64" s="92" t="s">
        <v>117</v>
      </c>
      <c r="B64" s="93">
        <v>3786.37</v>
      </c>
      <c r="C64" s="93">
        <v>3439.2</v>
      </c>
      <c r="D64" s="93">
        <v>3122.2</v>
      </c>
      <c r="E64" s="93">
        <v>2744.94</v>
      </c>
      <c r="F64" s="93">
        <v>2633.56</v>
      </c>
      <c r="H64" s="96" t="s">
        <v>110</v>
      </c>
      <c r="I64" s="91">
        <v>0</v>
      </c>
      <c r="J64" s="91">
        <v>0</v>
      </c>
      <c r="K64" s="91">
        <v>0</v>
      </c>
      <c r="L64" s="104">
        <v>1500</v>
      </c>
      <c r="M64" s="104">
        <v>1500</v>
      </c>
      <c r="N64" s="57"/>
      <c r="O64" s="58" t="s">
        <v>85</v>
      </c>
      <c r="P64" s="58">
        <v>163047</v>
      </c>
      <c r="Q64" s="58">
        <v>149801</v>
      </c>
      <c r="R64" s="58">
        <v>44601</v>
      </c>
      <c r="S64" s="58">
        <v>24684</v>
      </c>
      <c r="T64" s="58">
        <v>19884</v>
      </c>
      <c r="U64" s="97"/>
      <c r="V64" s="108" t="s">
        <v>93</v>
      </c>
      <c r="W64" s="111">
        <v>74978</v>
      </c>
      <c r="X64" s="111">
        <v>63358</v>
      </c>
      <c r="Y64" s="111">
        <v>63200</v>
      </c>
      <c r="Z64" s="111">
        <v>46675</v>
      </c>
      <c r="AA64" s="111">
        <v>38061</v>
      </c>
    </row>
    <row r="65" spans="1:27" ht="14.5">
      <c r="A65" s="102" t="s">
        <v>85</v>
      </c>
      <c r="B65" s="103">
        <v>59072.46</v>
      </c>
      <c r="C65" s="103">
        <v>54792.36</v>
      </c>
      <c r="D65" s="103">
        <v>4060.42</v>
      </c>
      <c r="E65" s="103">
        <v>2812.48</v>
      </c>
      <c r="F65" s="103">
        <v>1358.75</v>
      </c>
      <c r="H65" s="171" t="s">
        <v>102</v>
      </c>
      <c r="I65" s="159"/>
      <c r="J65" s="91"/>
      <c r="K65" s="91"/>
      <c r="L65" s="91"/>
      <c r="M65" s="91"/>
      <c r="N65" s="57"/>
      <c r="O65" s="62" t="s">
        <v>92</v>
      </c>
      <c r="P65" s="62">
        <v>0</v>
      </c>
      <c r="Q65" s="62">
        <v>8028</v>
      </c>
      <c r="R65" s="62">
        <v>0</v>
      </c>
      <c r="S65" s="62">
        <v>4166</v>
      </c>
      <c r="T65" s="62">
        <v>0</v>
      </c>
      <c r="U65" s="97"/>
      <c r="V65" s="108" t="s">
        <v>95</v>
      </c>
      <c r="W65" s="111">
        <v>75283</v>
      </c>
      <c r="X65" s="111">
        <v>63659</v>
      </c>
      <c r="Y65" s="111">
        <v>63501</v>
      </c>
      <c r="Z65" s="111">
        <v>46977</v>
      </c>
      <c r="AA65" s="111">
        <v>38362</v>
      </c>
    </row>
    <row r="66" spans="1:27" ht="14.5">
      <c r="A66" s="112" t="s">
        <v>103</v>
      </c>
      <c r="B66" s="113">
        <v>2364.2399999999998</v>
      </c>
      <c r="C66" s="113">
        <v>4267.12</v>
      </c>
      <c r="D66" s="113">
        <v>529.95000000000005</v>
      </c>
      <c r="E66" s="113">
        <v>172.35</v>
      </c>
      <c r="F66" s="113">
        <v>5463.71</v>
      </c>
      <c r="H66" s="96" t="s">
        <v>104</v>
      </c>
      <c r="I66" s="104">
        <v>13373.21</v>
      </c>
      <c r="J66" s="104">
        <v>11272.3</v>
      </c>
      <c r="K66" s="104">
        <v>18087.97</v>
      </c>
      <c r="L66" s="104">
        <v>13168.52</v>
      </c>
      <c r="M66" s="104">
        <v>9825.33</v>
      </c>
      <c r="N66" s="57"/>
      <c r="O66" s="58" t="s">
        <v>94</v>
      </c>
      <c r="P66" s="58">
        <v>0</v>
      </c>
      <c r="Q66" s="58">
        <v>45</v>
      </c>
      <c r="R66" s="58">
        <v>0</v>
      </c>
      <c r="S66" s="58">
        <v>0</v>
      </c>
      <c r="T66" s="58">
        <v>0</v>
      </c>
      <c r="U66" s="97"/>
      <c r="V66" s="162" t="s">
        <v>102</v>
      </c>
      <c r="W66" s="159"/>
      <c r="X66" s="101"/>
      <c r="Y66" s="101"/>
      <c r="Z66" s="101"/>
      <c r="AA66" s="101"/>
    </row>
    <row r="67" spans="1:27" ht="14.5">
      <c r="A67" s="112" t="s">
        <v>132</v>
      </c>
      <c r="B67" s="113">
        <v>3102.53</v>
      </c>
      <c r="C67" s="113">
        <v>400.2</v>
      </c>
      <c r="D67" s="113">
        <v>680.61</v>
      </c>
      <c r="E67" s="113">
        <v>611.46</v>
      </c>
      <c r="F67" s="113">
        <v>1726.67</v>
      </c>
      <c r="H67" s="96" t="s">
        <v>112</v>
      </c>
      <c r="I67" s="91">
        <v>996.19</v>
      </c>
      <c r="J67" s="91">
        <v>617.29</v>
      </c>
      <c r="K67" s="91">
        <v>0</v>
      </c>
      <c r="L67" s="91">
        <v>135.36000000000001</v>
      </c>
      <c r="M67" s="91">
        <v>307.25</v>
      </c>
      <c r="N67" s="88"/>
      <c r="O67" s="62" t="s">
        <v>101</v>
      </c>
      <c r="P67" s="62">
        <v>8172</v>
      </c>
      <c r="Q67" s="62">
        <v>7474</v>
      </c>
      <c r="R67" s="62">
        <v>6001</v>
      </c>
      <c r="S67" s="62">
        <v>4679</v>
      </c>
      <c r="T67" s="62">
        <v>4246</v>
      </c>
      <c r="U67" s="97"/>
      <c r="V67" s="105" t="s">
        <v>104</v>
      </c>
      <c r="W67" s="110">
        <v>47241</v>
      </c>
      <c r="X67" s="110">
        <v>48346</v>
      </c>
      <c r="Y67" s="110">
        <v>41176</v>
      </c>
      <c r="Z67" s="110">
        <v>39551</v>
      </c>
      <c r="AA67" s="110">
        <v>39247</v>
      </c>
    </row>
    <row r="68" spans="1:27" ht="12.5">
      <c r="A68" s="112" t="s">
        <v>141</v>
      </c>
      <c r="B68" s="113">
        <v>3102.53</v>
      </c>
      <c r="C68" s="113">
        <v>3336.44</v>
      </c>
      <c r="D68" s="113">
        <v>1741.46</v>
      </c>
      <c r="E68" s="113">
        <v>1127.3800000000001</v>
      </c>
      <c r="F68" s="113">
        <v>846.38</v>
      </c>
      <c r="H68" s="96" t="s">
        <v>114</v>
      </c>
      <c r="I68" s="104">
        <v>3739.35</v>
      </c>
      <c r="J68" s="104">
        <v>3728.83</v>
      </c>
      <c r="K68" s="104">
        <v>3325.33</v>
      </c>
      <c r="L68" s="91">
        <v>377.51</v>
      </c>
      <c r="M68" s="91">
        <v>412.97</v>
      </c>
      <c r="O68" s="64" t="s">
        <v>103</v>
      </c>
      <c r="P68" s="64">
        <v>11959</v>
      </c>
      <c r="Q68" s="64">
        <v>11073</v>
      </c>
      <c r="R68" s="64">
        <v>28038</v>
      </c>
      <c r="S68" s="64">
        <v>11505</v>
      </c>
      <c r="T68" s="64">
        <v>3362</v>
      </c>
      <c r="U68" s="97"/>
      <c r="V68" s="105" t="s">
        <v>112</v>
      </c>
      <c r="W68" s="110">
        <v>9320</v>
      </c>
      <c r="X68" s="110">
        <v>7460</v>
      </c>
      <c r="Y68" s="110">
        <v>6935</v>
      </c>
      <c r="Z68" s="110">
        <v>3095</v>
      </c>
      <c r="AA68" s="110">
        <v>1315</v>
      </c>
    </row>
    <row r="69" spans="1:27" ht="12.5">
      <c r="A69" s="112" t="s">
        <v>134</v>
      </c>
      <c r="B69" s="113">
        <v>3102.53</v>
      </c>
      <c r="C69" s="113">
        <v>3336.44</v>
      </c>
      <c r="D69" s="113">
        <v>1741.46</v>
      </c>
      <c r="E69" s="113">
        <v>1127.3800000000001</v>
      </c>
      <c r="F69" s="113">
        <v>1017.38</v>
      </c>
      <c r="H69" s="96" t="s">
        <v>116</v>
      </c>
      <c r="I69" s="91">
        <v>280.7</v>
      </c>
      <c r="J69" s="91">
        <v>285.94</v>
      </c>
      <c r="K69" s="91">
        <v>274</v>
      </c>
      <c r="L69" s="91">
        <v>261.38</v>
      </c>
      <c r="M69" s="91">
        <v>222.46</v>
      </c>
      <c r="O69" s="62" t="s">
        <v>111</v>
      </c>
      <c r="P69" s="62">
        <v>0</v>
      </c>
      <c r="Q69" s="62">
        <v>-7174</v>
      </c>
      <c r="R69" s="62">
        <v>4051</v>
      </c>
      <c r="S69" s="62">
        <v>3956</v>
      </c>
      <c r="T69" s="62">
        <v>-4463</v>
      </c>
      <c r="U69" s="97"/>
      <c r="V69" s="105" t="s">
        <v>114</v>
      </c>
      <c r="W69" s="110">
        <v>2852</v>
      </c>
      <c r="X69" s="110">
        <v>2791</v>
      </c>
      <c r="Y69" s="110">
        <v>3832</v>
      </c>
      <c r="Z69" s="110">
        <v>5816</v>
      </c>
      <c r="AA69" s="110">
        <v>7202</v>
      </c>
    </row>
    <row r="70" spans="1:27" ht="12.5">
      <c r="A70" s="92" t="s">
        <v>111</v>
      </c>
      <c r="B70" s="93">
        <v>0</v>
      </c>
      <c r="C70" s="93">
        <v>513.65</v>
      </c>
      <c r="D70" s="93">
        <v>292.5</v>
      </c>
      <c r="E70" s="93">
        <v>3137</v>
      </c>
      <c r="F70" s="93">
        <v>-3226.62</v>
      </c>
      <c r="H70" s="99" t="s">
        <v>118</v>
      </c>
      <c r="I70" s="107">
        <v>18389.45</v>
      </c>
      <c r="J70" s="107">
        <v>15904.36</v>
      </c>
      <c r="K70" s="107">
        <v>21687.3</v>
      </c>
      <c r="L70" s="107">
        <v>13942.77</v>
      </c>
      <c r="M70" s="107">
        <v>10768.01</v>
      </c>
      <c r="O70" s="58" t="s">
        <v>113</v>
      </c>
      <c r="P70" s="58">
        <v>-6512</v>
      </c>
      <c r="Q70" s="58">
        <v>-6311</v>
      </c>
      <c r="R70" s="58">
        <v>-3261</v>
      </c>
      <c r="S70" s="58">
        <v>3382</v>
      </c>
      <c r="T70" s="58">
        <v>0</v>
      </c>
      <c r="U70" s="97"/>
      <c r="V70" s="105" t="s">
        <v>116</v>
      </c>
      <c r="W70" s="110">
        <v>1288</v>
      </c>
      <c r="X70" s="110">
        <v>1250</v>
      </c>
      <c r="Y70" s="110">
        <v>1292</v>
      </c>
      <c r="Z70" s="106">
        <v>753</v>
      </c>
      <c r="AA70" s="106">
        <v>322</v>
      </c>
    </row>
    <row r="71" spans="1:27" ht="12.5">
      <c r="A71" s="102" t="s">
        <v>51</v>
      </c>
      <c r="B71" s="103">
        <v>4633.22</v>
      </c>
      <c r="C71" s="103">
        <v>4371.6499999999996</v>
      </c>
      <c r="D71" s="103">
        <v>3859.02</v>
      </c>
      <c r="E71" s="103">
        <v>4010.39</v>
      </c>
      <c r="F71" s="103">
        <v>4321</v>
      </c>
      <c r="H71" s="171" t="s">
        <v>124</v>
      </c>
      <c r="I71" s="159"/>
      <c r="J71" s="91"/>
      <c r="K71" s="91"/>
      <c r="L71" s="91"/>
      <c r="M71" s="91"/>
      <c r="O71" s="81" t="s">
        <v>115</v>
      </c>
      <c r="P71" s="81">
        <v>29829</v>
      </c>
      <c r="Q71" s="81">
        <v>20036</v>
      </c>
      <c r="R71" s="81">
        <v>39797</v>
      </c>
      <c r="S71" s="81">
        <v>20650</v>
      </c>
      <c r="T71" s="81">
        <v>11614</v>
      </c>
      <c r="U71" s="97"/>
      <c r="V71" s="108" t="s">
        <v>118</v>
      </c>
      <c r="W71" s="111">
        <v>60701</v>
      </c>
      <c r="X71" s="111">
        <v>59847</v>
      </c>
      <c r="Y71" s="111">
        <v>53235</v>
      </c>
      <c r="Z71" s="111">
        <v>49215</v>
      </c>
      <c r="AA71" s="111">
        <v>48086</v>
      </c>
    </row>
    <row r="72" spans="1:27" ht="12.5">
      <c r="A72" s="112" t="s">
        <v>126</v>
      </c>
      <c r="B72" s="113">
        <v>4554.45</v>
      </c>
      <c r="C72" s="113">
        <v>2047.53</v>
      </c>
      <c r="D72" s="113">
        <v>1060.17</v>
      </c>
      <c r="E72" s="113">
        <v>1113.3399999999999</v>
      </c>
      <c r="F72" s="113">
        <v>2368.16</v>
      </c>
      <c r="H72" s="96" t="s">
        <v>125</v>
      </c>
      <c r="I72" s="104">
        <v>6152.95</v>
      </c>
      <c r="J72" s="104">
        <v>10593.18</v>
      </c>
      <c r="K72" s="104">
        <v>6620.41</v>
      </c>
      <c r="L72" s="104">
        <v>5595.7</v>
      </c>
      <c r="M72" s="104">
        <v>6212.31</v>
      </c>
      <c r="O72" s="58" t="s">
        <v>117</v>
      </c>
      <c r="P72" s="58">
        <v>8172</v>
      </c>
      <c r="Q72" s="58">
        <v>7474</v>
      </c>
      <c r="R72" s="58">
        <v>6001</v>
      </c>
      <c r="S72" s="58">
        <v>4679</v>
      </c>
      <c r="T72" s="58">
        <v>4246</v>
      </c>
      <c r="U72" s="97"/>
      <c r="V72" s="162" t="s">
        <v>124</v>
      </c>
      <c r="W72" s="159"/>
      <c r="X72" s="101"/>
      <c r="Y72" s="101"/>
      <c r="Z72" s="101"/>
      <c r="AA72" s="101"/>
    </row>
    <row r="73" spans="1:27" ht="12.5">
      <c r="A73" s="102" t="s">
        <v>128</v>
      </c>
      <c r="B73" s="103">
        <v>1451.92</v>
      </c>
      <c r="C73" s="103">
        <v>1647.33</v>
      </c>
      <c r="D73" s="103">
        <v>379.56</v>
      </c>
      <c r="E73" s="103">
        <v>501.88</v>
      </c>
      <c r="F73" s="103">
        <v>622.17999999999995</v>
      </c>
      <c r="H73" s="96" t="s">
        <v>127</v>
      </c>
      <c r="I73" s="104">
        <v>4081.38</v>
      </c>
      <c r="J73" s="104">
        <v>1985.02</v>
      </c>
      <c r="K73" s="104">
        <v>4079.89</v>
      </c>
      <c r="L73" s="104">
        <v>1137</v>
      </c>
      <c r="M73" s="104">
        <v>1001.87</v>
      </c>
      <c r="O73" s="81" t="s">
        <v>50</v>
      </c>
      <c r="P73" s="81">
        <v>21657</v>
      </c>
      <c r="Q73" s="81">
        <v>12562</v>
      </c>
      <c r="R73" s="81">
        <v>33796</v>
      </c>
      <c r="S73" s="81">
        <v>15971</v>
      </c>
      <c r="T73" s="81">
        <v>7368</v>
      </c>
      <c r="U73" s="97"/>
      <c r="V73" s="105" t="s">
        <v>125</v>
      </c>
      <c r="W73" s="110">
        <v>11582</v>
      </c>
      <c r="X73" s="110">
        <v>6825</v>
      </c>
      <c r="Y73" s="110">
        <v>9259</v>
      </c>
      <c r="Z73" s="110">
        <v>1285</v>
      </c>
      <c r="AA73" s="110">
        <v>6813</v>
      </c>
    </row>
    <row r="74" spans="1:27" ht="12.5">
      <c r="A74" s="92" t="s">
        <v>78</v>
      </c>
      <c r="B74" s="93">
        <v>20707.29</v>
      </c>
      <c r="C74" s="93">
        <v>17105.89</v>
      </c>
      <c r="D74" s="93">
        <v>15183.22</v>
      </c>
      <c r="E74" s="93">
        <v>10788.22</v>
      </c>
      <c r="F74" s="93">
        <v>10650.09</v>
      </c>
      <c r="H74" s="96" t="s">
        <v>129</v>
      </c>
      <c r="I74" s="104">
        <v>6049.69</v>
      </c>
      <c r="J74" s="104">
        <v>5972.8</v>
      </c>
      <c r="K74" s="104">
        <v>3841.41</v>
      </c>
      <c r="L74" s="104">
        <v>3789.55</v>
      </c>
      <c r="M74" s="104">
        <v>4310.3</v>
      </c>
      <c r="O74" s="58" t="s">
        <v>51</v>
      </c>
      <c r="P74" s="58">
        <v>8105</v>
      </c>
      <c r="Q74" s="58">
        <v>6902</v>
      </c>
      <c r="R74" s="58">
        <v>4968</v>
      </c>
      <c r="S74" s="58">
        <v>3957</v>
      </c>
      <c r="T74" s="58">
        <v>4265</v>
      </c>
      <c r="U74" s="97"/>
      <c r="V74" s="105" t="s">
        <v>127</v>
      </c>
      <c r="W74" s="110">
        <v>12742</v>
      </c>
      <c r="X74" s="110">
        <v>30705</v>
      </c>
      <c r="Y74" s="110">
        <v>24328</v>
      </c>
      <c r="Z74" s="110">
        <v>12150</v>
      </c>
      <c r="AA74" s="110">
        <v>13354</v>
      </c>
    </row>
    <row r="75" spans="1:27" ht="12.5">
      <c r="A75" s="102" t="s">
        <v>181</v>
      </c>
      <c r="B75" s="103">
        <v>0</v>
      </c>
      <c r="C75" s="103">
        <v>0</v>
      </c>
      <c r="D75" s="103">
        <v>-467.83</v>
      </c>
      <c r="E75" s="103">
        <v>-46.2</v>
      </c>
      <c r="F75" s="103">
        <v>-250.98</v>
      </c>
      <c r="H75" s="96" t="s">
        <v>131</v>
      </c>
      <c r="I75" s="91">
        <v>27.82</v>
      </c>
      <c r="J75" s="91">
        <v>17.760000000000002</v>
      </c>
      <c r="K75" s="91">
        <v>44.59</v>
      </c>
      <c r="L75" s="91">
        <v>25.37</v>
      </c>
      <c r="M75" s="91">
        <v>62.02</v>
      </c>
      <c r="O75" s="64" t="s">
        <v>126</v>
      </c>
      <c r="P75" s="64">
        <v>13552</v>
      </c>
      <c r="Q75" s="64">
        <v>5792</v>
      </c>
      <c r="R75" s="64">
        <v>28828</v>
      </c>
      <c r="S75" s="64">
        <v>12014</v>
      </c>
      <c r="T75" s="64">
        <v>3103</v>
      </c>
      <c r="U75" s="97"/>
      <c r="V75" s="105" t="s">
        <v>129</v>
      </c>
      <c r="W75" s="110">
        <v>24754</v>
      </c>
      <c r="X75" s="110">
        <v>11570</v>
      </c>
      <c r="Y75" s="110">
        <v>12320</v>
      </c>
      <c r="Z75" s="110">
        <v>23362</v>
      </c>
      <c r="AA75" s="110">
        <v>15363</v>
      </c>
    </row>
    <row r="76" spans="1:27" ht="12.5">
      <c r="A76" s="112" t="s">
        <v>143</v>
      </c>
      <c r="B76" s="113">
        <v>11.56</v>
      </c>
      <c r="C76" s="113">
        <v>10.43</v>
      </c>
      <c r="D76" s="113">
        <v>43.87</v>
      </c>
      <c r="E76" s="113">
        <v>3.53</v>
      </c>
      <c r="F76" s="113">
        <v>3.76</v>
      </c>
      <c r="H76" s="99" t="s">
        <v>133</v>
      </c>
      <c r="I76" s="107">
        <v>16311.84</v>
      </c>
      <c r="J76" s="107">
        <v>18568.759999999998</v>
      </c>
      <c r="K76" s="107">
        <v>14586.3</v>
      </c>
      <c r="L76" s="107">
        <v>10547.62</v>
      </c>
      <c r="M76" s="107">
        <v>11586.5</v>
      </c>
      <c r="O76" s="58" t="s">
        <v>128</v>
      </c>
      <c r="P76" s="58">
        <v>4407</v>
      </c>
      <c r="Q76" s="58">
        <v>1516</v>
      </c>
      <c r="R76" s="58">
        <v>8807</v>
      </c>
      <c r="S76" s="58">
        <v>4142</v>
      </c>
      <c r="T76" s="58">
        <v>-906</v>
      </c>
      <c r="U76" s="97"/>
      <c r="V76" s="105" t="s">
        <v>131</v>
      </c>
      <c r="W76" s="106">
        <v>376</v>
      </c>
      <c r="X76" s="106">
        <v>235</v>
      </c>
      <c r="Y76" s="106">
        <v>227</v>
      </c>
      <c r="Z76" s="106">
        <v>243</v>
      </c>
      <c r="AA76" s="106">
        <v>64</v>
      </c>
    </row>
    <row r="77" spans="1:27" ht="12.5">
      <c r="A77" s="112" t="s">
        <v>115</v>
      </c>
      <c r="B77" s="113">
        <v>12974.04</v>
      </c>
      <c r="C77" s="113">
        <v>12794.62</v>
      </c>
      <c r="D77" s="113">
        <v>8041.39</v>
      </c>
      <c r="E77" s="113">
        <v>7868.67</v>
      </c>
      <c r="F77" s="113">
        <v>9322.7199999999993</v>
      </c>
      <c r="H77" s="99" t="s">
        <v>135</v>
      </c>
      <c r="I77" s="107">
        <v>50488.95</v>
      </c>
      <c r="J77" s="107">
        <v>48172.71</v>
      </c>
      <c r="K77" s="107">
        <v>47153.4</v>
      </c>
      <c r="L77" s="107">
        <v>42868.95</v>
      </c>
      <c r="M77" s="107">
        <v>37616.480000000003</v>
      </c>
      <c r="O77" s="62" t="s">
        <v>130</v>
      </c>
      <c r="P77" s="62">
        <v>4407</v>
      </c>
      <c r="Q77" s="62">
        <v>1516</v>
      </c>
      <c r="R77" s="62">
        <v>8807</v>
      </c>
      <c r="S77" s="62">
        <v>4142</v>
      </c>
      <c r="T77" s="62">
        <v>1417</v>
      </c>
      <c r="U77" s="97"/>
      <c r="V77" s="108" t="s">
        <v>133</v>
      </c>
      <c r="W77" s="111">
        <v>49454</v>
      </c>
      <c r="X77" s="111">
        <v>49335</v>
      </c>
      <c r="Y77" s="111">
        <v>46134</v>
      </c>
      <c r="Z77" s="111">
        <v>37040</v>
      </c>
      <c r="AA77" s="111">
        <v>35594</v>
      </c>
    </row>
    <row r="78" spans="1:27" ht="12.5">
      <c r="A78" s="112" t="s">
        <v>50</v>
      </c>
      <c r="B78" s="113">
        <v>9187.67</v>
      </c>
      <c r="C78" s="113">
        <v>9353.36</v>
      </c>
      <c r="D78" s="113">
        <v>4919.1899999999996</v>
      </c>
      <c r="E78" s="113">
        <v>5123.7299999999996</v>
      </c>
      <c r="F78" s="113">
        <v>6689.16</v>
      </c>
      <c r="H78" s="170" t="s">
        <v>142</v>
      </c>
      <c r="I78" s="159"/>
      <c r="J78" s="91"/>
      <c r="K78" s="91"/>
      <c r="L78" s="91"/>
      <c r="M78" s="91"/>
      <c r="O78" s="64" t="s">
        <v>132</v>
      </c>
      <c r="P78" s="64">
        <v>9145</v>
      </c>
      <c r="Q78" s="64">
        <v>4276</v>
      </c>
      <c r="R78" s="64">
        <v>20021</v>
      </c>
      <c r="S78" s="64">
        <v>7872</v>
      </c>
      <c r="T78" s="64">
        <v>4009</v>
      </c>
      <c r="U78" s="97"/>
      <c r="V78" s="108" t="s">
        <v>135</v>
      </c>
      <c r="W78" s="109" t="s">
        <v>182</v>
      </c>
      <c r="X78" s="109" t="s">
        <v>183</v>
      </c>
      <c r="Y78" s="109" t="s">
        <v>184</v>
      </c>
      <c r="Z78" s="109" t="s">
        <v>185</v>
      </c>
      <c r="AA78" s="109" t="s">
        <v>186</v>
      </c>
    </row>
    <row r="79" spans="1:27" ht="12.5">
      <c r="A79" s="102" t="s">
        <v>187</v>
      </c>
      <c r="B79" s="103">
        <v>0</v>
      </c>
      <c r="C79" s="103">
        <v>0</v>
      </c>
      <c r="D79" s="103">
        <v>-467.83</v>
      </c>
      <c r="E79" s="103">
        <v>-46.2</v>
      </c>
      <c r="F79" s="103">
        <v>-410.23</v>
      </c>
      <c r="H79" s="170" t="s">
        <v>144</v>
      </c>
      <c r="I79" s="159"/>
      <c r="J79" s="91"/>
      <c r="K79" s="91"/>
      <c r="L79" s="91"/>
      <c r="M79" s="91"/>
      <c r="O79" s="62" t="s">
        <v>181</v>
      </c>
      <c r="P79" s="62">
        <v>0</v>
      </c>
      <c r="Q79" s="62">
        <v>0</v>
      </c>
      <c r="R79" s="62">
        <v>0</v>
      </c>
      <c r="S79" s="62">
        <v>0</v>
      </c>
      <c r="T79" s="62">
        <v>2323</v>
      </c>
      <c r="U79" s="97"/>
      <c r="V79" s="162" t="s">
        <v>142</v>
      </c>
      <c r="W79" s="159"/>
      <c r="X79" s="101"/>
      <c r="Y79" s="101"/>
      <c r="Z79" s="101"/>
      <c r="AA79" s="101"/>
    </row>
    <row r="80" spans="1:27" ht="12.5">
      <c r="A80" s="92" t="s">
        <v>101</v>
      </c>
      <c r="B80" s="93">
        <v>3786.37</v>
      </c>
      <c r="C80" s="93">
        <v>3439.2</v>
      </c>
      <c r="D80" s="93">
        <v>3122.2</v>
      </c>
      <c r="E80" s="93">
        <v>2746.06</v>
      </c>
      <c r="F80" s="93">
        <v>2633.56</v>
      </c>
      <c r="H80" s="96" t="s">
        <v>145</v>
      </c>
      <c r="I80" s="104">
        <v>23522.28</v>
      </c>
      <c r="J80" s="104">
        <v>23699.59</v>
      </c>
      <c r="K80" s="104">
        <v>23708.53</v>
      </c>
      <c r="L80" s="104">
        <v>8200.75</v>
      </c>
      <c r="M80" s="104">
        <v>7974.07</v>
      </c>
      <c r="O80" s="64" t="s">
        <v>134</v>
      </c>
      <c r="P80" s="64">
        <v>8812</v>
      </c>
      <c r="Q80" s="64">
        <v>4144</v>
      </c>
      <c r="R80" s="64">
        <v>20665</v>
      </c>
      <c r="S80" s="64">
        <v>7911</v>
      </c>
      <c r="T80" s="64">
        <v>4030</v>
      </c>
      <c r="U80" s="97"/>
      <c r="V80" s="162" t="s">
        <v>144</v>
      </c>
      <c r="W80" s="159"/>
      <c r="X80" s="101"/>
      <c r="Y80" s="101"/>
      <c r="Z80" s="101"/>
      <c r="AA80" s="101"/>
    </row>
    <row r="81" spans="1:27" ht="12.5">
      <c r="A81" s="102" t="s">
        <v>76</v>
      </c>
      <c r="B81" s="103">
        <v>40741.61</v>
      </c>
      <c r="C81" s="103">
        <v>38003.19</v>
      </c>
      <c r="D81" s="103">
        <v>27632.45</v>
      </c>
      <c r="E81" s="103">
        <v>21577.119999999999</v>
      </c>
      <c r="F81" s="103">
        <v>7917.72</v>
      </c>
      <c r="H81" s="96" t="s">
        <v>151</v>
      </c>
      <c r="I81" s="91">
        <v>19.989999999999998</v>
      </c>
      <c r="J81" s="91">
        <v>22.46</v>
      </c>
      <c r="K81" s="91">
        <v>37.43</v>
      </c>
      <c r="L81" s="91">
        <v>55.39</v>
      </c>
      <c r="M81" s="91">
        <v>62.22</v>
      </c>
      <c r="O81" s="64" t="s">
        <v>141</v>
      </c>
      <c r="P81" s="64">
        <v>8812</v>
      </c>
      <c r="Q81" s="64">
        <v>4144</v>
      </c>
      <c r="R81" s="64">
        <v>20665</v>
      </c>
      <c r="S81" s="64">
        <v>7911</v>
      </c>
      <c r="T81" s="64">
        <v>4030</v>
      </c>
      <c r="U81" s="97"/>
      <c r="V81" s="105" t="s">
        <v>145</v>
      </c>
      <c r="W81" s="110">
        <v>77243</v>
      </c>
      <c r="X81" s="110">
        <v>73255</v>
      </c>
      <c r="Y81" s="110">
        <v>69767</v>
      </c>
      <c r="Z81" s="110">
        <v>50328</v>
      </c>
      <c r="AA81" s="110">
        <v>50219</v>
      </c>
    </row>
    <row r="82" spans="1:27" ht="12.5">
      <c r="H82" s="96" t="s">
        <v>152</v>
      </c>
      <c r="I82" s="104">
        <v>1798.53</v>
      </c>
      <c r="J82" s="104">
        <v>1272.56</v>
      </c>
      <c r="K82" s="91">
        <v>965.15</v>
      </c>
      <c r="L82" s="91">
        <v>285.45</v>
      </c>
      <c r="M82" s="91">
        <v>402.87</v>
      </c>
      <c r="O82" s="64" t="s">
        <v>143</v>
      </c>
      <c r="P82" s="64">
        <v>36.340000000000003</v>
      </c>
      <c r="Q82" s="64">
        <v>17.25</v>
      </c>
      <c r="R82" s="64">
        <v>85.96</v>
      </c>
      <c r="S82" s="64">
        <v>32.909999999999997</v>
      </c>
      <c r="T82" s="64">
        <v>16.78</v>
      </c>
      <c r="U82" s="97"/>
      <c r="V82" s="105" t="s">
        <v>151</v>
      </c>
      <c r="W82" s="110">
        <v>2343</v>
      </c>
      <c r="X82" s="110">
        <v>1801</v>
      </c>
      <c r="Y82" s="110">
        <v>1879</v>
      </c>
      <c r="Z82" s="110">
        <v>1614</v>
      </c>
      <c r="AA82" s="106">
        <v>323</v>
      </c>
    </row>
    <row r="83" spans="1:27" ht="13">
      <c r="G83" s="44"/>
      <c r="H83" s="99" t="s">
        <v>155</v>
      </c>
      <c r="I83" s="107">
        <v>25340.799999999999</v>
      </c>
      <c r="J83" s="107">
        <v>24994.61</v>
      </c>
      <c r="K83" s="107">
        <v>24711.11</v>
      </c>
      <c r="L83" s="107">
        <v>8541.59</v>
      </c>
      <c r="M83" s="107">
        <v>8439.16</v>
      </c>
      <c r="O83" s="114"/>
      <c r="P83" s="115"/>
      <c r="Q83" s="115"/>
      <c r="R83" s="115"/>
      <c r="S83" s="115"/>
      <c r="T83" s="115"/>
      <c r="U83" s="97"/>
      <c r="V83" s="105" t="s">
        <v>152</v>
      </c>
      <c r="W83" s="110">
        <v>10504</v>
      </c>
      <c r="X83" s="110">
        <v>10271</v>
      </c>
      <c r="Y83" s="110">
        <v>12459</v>
      </c>
      <c r="Z83" s="110">
        <v>28914</v>
      </c>
      <c r="AA83" s="110">
        <v>23810</v>
      </c>
    </row>
    <row r="84" spans="1:27" ht="12.5">
      <c r="H84" s="96" t="s">
        <v>161</v>
      </c>
      <c r="I84" s="104">
        <v>13013.8</v>
      </c>
      <c r="J84" s="104">
        <v>12064.55</v>
      </c>
      <c r="K84" s="104">
        <v>10711.38</v>
      </c>
      <c r="L84" s="104">
        <v>26128.400000000001</v>
      </c>
      <c r="M84" s="104">
        <v>21327.200000000001</v>
      </c>
      <c r="O84" s="114"/>
      <c r="P84" s="115"/>
      <c r="Q84" s="115"/>
      <c r="R84" s="115"/>
      <c r="S84" s="115"/>
      <c r="T84" s="115"/>
      <c r="U84" s="97"/>
      <c r="V84" s="105" t="s">
        <v>153</v>
      </c>
      <c r="W84" s="106">
        <v>352</v>
      </c>
      <c r="X84" s="106">
        <v>235</v>
      </c>
      <c r="Y84" s="106">
        <v>140</v>
      </c>
      <c r="Z84" s="106">
        <v>128</v>
      </c>
      <c r="AA84" s="106">
        <v>331</v>
      </c>
    </row>
    <row r="85" spans="1:27" ht="12.5">
      <c r="H85" s="96" t="s">
        <v>163</v>
      </c>
      <c r="I85" s="91">
        <v>0</v>
      </c>
      <c r="J85" s="91">
        <v>0</v>
      </c>
      <c r="K85" s="91">
        <v>250</v>
      </c>
      <c r="L85" s="91">
        <v>0</v>
      </c>
      <c r="M85" s="91">
        <v>0</v>
      </c>
      <c r="U85" s="97"/>
      <c r="V85" s="116" t="s">
        <v>155</v>
      </c>
      <c r="W85" s="117">
        <v>90442</v>
      </c>
      <c r="X85" s="117">
        <v>85562</v>
      </c>
      <c r="Y85" s="117">
        <v>84245</v>
      </c>
      <c r="Z85" s="117">
        <v>80984</v>
      </c>
      <c r="AA85" s="117">
        <v>74683</v>
      </c>
    </row>
    <row r="86" spans="1:27" ht="12.5">
      <c r="H86" s="96" t="s">
        <v>162</v>
      </c>
      <c r="I86" s="91">
        <v>4.25</v>
      </c>
      <c r="J86" s="91">
        <v>2.68</v>
      </c>
      <c r="K86" s="91">
        <v>453.17</v>
      </c>
      <c r="L86" s="91">
        <v>490.18</v>
      </c>
      <c r="M86" s="91">
        <v>42.1</v>
      </c>
      <c r="U86" s="97"/>
      <c r="V86" s="105" t="s">
        <v>161</v>
      </c>
      <c r="W86" s="110">
        <v>30141</v>
      </c>
      <c r="X86" s="110">
        <v>24320</v>
      </c>
      <c r="Y86" s="110">
        <v>18028</v>
      </c>
      <c r="Z86" s="110">
        <v>12458</v>
      </c>
      <c r="AA86" s="110">
        <v>5999</v>
      </c>
    </row>
    <row r="87" spans="1:27" ht="12.5">
      <c r="H87" s="96" t="s">
        <v>164</v>
      </c>
      <c r="I87" s="104">
        <v>3952.76</v>
      </c>
      <c r="J87" s="104">
        <v>3011.41</v>
      </c>
      <c r="K87" s="104">
        <v>2605.66</v>
      </c>
      <c r="L87" s="104">
        <v>2463.9499999999998</v>
      </c>
      <c r="M87" s="104">
        <v>1920.44</v>
      </c>
      <c r="U87" s="97"/>
      <c r="V87" s="105" t="s">
        <v>162</v>
      </c>
      <c r="W87" s="110">
        <v>11501</v>
      </c>
      <c r="X87" s="110">
        <v>5346</v>
      </c>
      <c r="Y87" s="110">
        <v>5763</v>
      </c>
      <c r="Z87" s="110">
        <v>5382</v>
      </c>
      <c r="AA87" s="110">
        <v>8705</v>
      </c>
    </row>
    <row r="88" spans="1:27" ht="13">
      <c r="G88" s="44"/>
      <c r="H88" s="99" t="s">
        <v>165</v>
      </c>
      <c r="I88" s="107">
        <v>42311.61</v>
      </c>
      <c r="J88" s="107">
        <v>40073.25</v>
      </c>
      <c r="K88" s="107">
        <v>38731.32</v>
      </c>
      <c r="L88" s="107">
        <v>37624.120000000003</v>
      </c>
      <c r="M88" s="107">
        <v>31728.9</v>
      </c>
      <c r="U88" s="97"/>
      <c r="V88" s="105" t="s">
        <v>164</v>
      </c>
      <c r="W88" s="110">
        <v>10260</v>
      </c>
      <c r="X88" s="110">
        <v>8469</v>
      </c>
      <c r="Y88" s="110">
        <v>7349</v>
      </c>
      <c r="Z88" s="110">
        <v>4705</v>
      </c>
      <c r="AA88" s="110">
        <v>3280</v>
      </c>
    </row>
    <row r="89" spans="1:27" ht="12.5">
      <c r="H89" s="171" t="s">
        <v>171</v>
      </c>
      <c r="I89" s="159"/>
      <c r="J89" s="91"/>
      <c r="K89" s="91"/>
      <c r="L89" s="91"/>
      <c r="M89" s="91"/>
      <c r="U89" s="97"/>
      <c r="V89" s="108" t="s">
        <v>165</v>
      </c>
      <c r="W89" s="109" t="s">
        <v>188</v>
      </c>
      <c r="X89" s="109" t="s">
        <v>189</v>
      </c>
      <c r="Y89" s="109" t="s">
        <v>190</v>
      </c>
      <c r="Z89" s="109" t="s">
        <v>191</v>
      </c>
      <c r="AA89" s="111">
        <v>92667</v>
      </c>
    </row>
    <row r="90" spans="1:27" ht="12.5">
      <c r="H90" s="96" t="s">
        <v>172</v>
      </c>
      <c r="I90" s="91">
        <v>392.4</v>
      </c>
      <c r="J90" s="91">
        <v>64.17</v>
      </c>
      <c r="K90" s="91">
        <v>67.599999999999994</v>
      </c>
      <c r="L90" s="91">
        <v>240.01</v>
      </c>
      <c r="M90" s="91">
        <v>20</v>
      </c>
      <c r="U90" s="97"/>
      <c r="V90" s="162" t="s">
        <v>171</v>
      </c>
      <c r="W90" s="159"/>
      <c r="X90" s="101"/>
      <c r="Y90" s="101"/>
      <c r="Z90" s="101"/>
      <c r="AA90" s="101"/>
    </row>
    <row r="91" spans="1:27" ht="12.5">
      <c r="H91" s="96" t="s">
        <v>173</v>
      </c>
      <c r="I91" s="104">
        <v>2119.5300000000002</v>
      </c>
      <c r="J91" s="104">
        <v>2457.9499999999998</v>
      </c>
      <c r="K91" s="104">
        <v>2292.33</v>
      </c>
      <c r="L91" s="91">
        <v>632.94000000000005</v>
      </c>
      <c r="M91" s="91">
        <v>635.01</v>
      </c>
      <c r="U91" s="97"/>
      <c r="V91" s="105" t="s">
        <v>173</v>
      </c>
      <c r="W91" s="110">
        <v>23234</v>
      </c>
      <c r="X91" s="110">
        <v>19517</v>
      </c>
      <c r="Y91" s="110">
        <v>21028</v>
      </c>
      <c r="Z91" s="110">
        <v>10692</v>
      </c>
      <c r="AA91" s="110">
        <v>9623</v>
      </c>
    </row>
    <row r="92" spans="1:27" ht="12.5">
      <c r="H92" s="96" t="s">
        <v>174</v>
      </c>
      <c r="I92" s="104">
        <v>1742.08</v>
      </c>
      <c r="J92" s="104">
        <v>2020.9</v>
      </c>
      <c r="K92" s="104">
        <v>1085.51</v>
      </c>
      <c r="L92" s="91">
        <v>910.87</v>
      </c>
      <c r="M92" s="104">
        <v>1108.68</v>
      </c>
      <c r="U92" s="97"/>
      <c r="V92" s="105" t="s">
        <v>174</v>
      </c>
      <c r="W92" s="110">
        <v>6498</v>
      </c>
      <c r="X92" s="110">
        <v>6000</v>
      </c>
      <c r="Y92" s="110">
        <v>6146</v>
      </c>
      <c r="Z92" s="110">
        <v>3333</v>
      </c>
      <c r="AA92" s="110">
        <v>3166</v>
      </c>
    </row>
    <row r="93" spans="1:27" ht="12.5">
      <c r="H93" s="96" t="s">
        <v>175</v>
      </c>
      <c r="I93" s="91">
        <v>618.59</v>
      </c>
      <c r="J93" s="91">
        <v>295.92</v>
      </c>
      <c r="K93" s="91">
        <v>78.55</v>
      </c>
      <c r="L93" s="91">
        <v>142.66999999999999</v>
      </c>
      <c r="M93" s="91">
        <v>178.94</v>
      </c>
      <c r="U93" s="97"/>
      <c r="V93" s="105" t="s">
        <v>175</v>
      </c>
      <c r="W93" s="110">
        <v>8129</v>
      </c>
      <c r="X93" s="110">
        <v>18716</v>
      </c>
      <c r="Y93" s="110">
        <v>15527</v>
      </c>
      <c r="Z93" s="110">
        <v>11746</v>
      </c>
      <c r="AA93" s="110">
        <v>11401</v>
      </c>
    </row>
    <row r="94" spans="1:27" ht="12.5">
      <c r="H94" s="96" t="s">
        <v>176</v>
      </c>
      <c r="I94" s="91">
        <v>0</v>
      </c>
      <c r="J94" s="91">
        <v>0</v>
      </c>
      <c r="K94" s="104">
        <v>1328.48</v>
      </c>
      <c r="L94" s="104">
        <v>1523.89</v>
      </c>
      <c r="M94" s="91">
        <v>550.09</v>
      </c>
      <c r="U94" s="97"/>
      <c r="V94" s="105" t="s">
        <v>176</v>
      </c>
      <c r="W94" s="106">
        <v>4</v>
      </c>
      <c r="X94" s="106">
        <v>93</v>
      </c>
      <c r="Y94" s="106">
        <v>265</v>
      </c>
      <c r="Z94" s="106">
        <v>733</v>
      </c>
      <c r="AA94" s="106">
        <v>321</v>
      </c>
    </row>
    <row r="95" spans="1:27" ht="12.5">
      <c r="H95" s="96" t="s">
        <v>177</v>
      </c>
      <c r="I95" s="104">
        <v>3304.74</v>
      </c>
      <c r="J95" s="104">
        <v>3260.52</v>
      </c>
      <c r="K95" s="104">
        <v>3569.61</v>
      </c>
      <c r="L95" s="104">
        <v>1794.45</v>
      </c>
      <c r="M95" s="104">
        <v>3394.86</v>
      </c>
      <c r="U95" s="97"/>
      <c r="V95" s="105" t="s">
        <v>177</v>
      </c>
      <c r="W95" s="110">
        <v>5229</v>
      </c>
      <c r="X95" s="110">
        <v>4818</v>
      </c>
      <c r="Y95" s="110">
        <v>4519</v>
      </c>
      <c r="Z95" s="110">
        <v>3199</v>
      </c>
      <c r="AA95" s="110">
        <v>4864</v>
      </c>
    </row>
    <row r="96" spans="1:27" ht="13">
      <c r="G96" s="44"/>
      <c r="H96" s="99" t="s">
        <v>178</v>
      </c>
      <c r="I96" s="107">
        <v>8177.34</v>
      </c>
      <c r="J96" s="107">
        <v>8099.46</v>
      </c>
      <c r="K96" s="107">
        <v>8422.08</v>
      </c>
      <c r="L96" s="107">
        <v>5244.83</v>
      </c>
      <c r="M96" s="107">
        <v>5887.58</v>
      </c>
      <c r="U96" s="97"/>
      <c r="V96" s="108" t="s">
        <v>178</v>
      </c>
      <c r="W96" s="111">
        <v>43094</v>
      </c>
      <c r="X96" s="111">
        <v>49144</v>
      </c>
      <c r="Y96" s="111">
        <v>47485</v>
      </c>
      <c r="Z96" s="111">
        <v>29703</v>
      </c>
      <c r="AA96" s="111">
        <v>29375</v>
      </c>
    </row>
    <row r="97" spans="1:27" ht="13">
      <c r="G97" s="44"/>
      <c r="H97" s="118" t="s">
        <v>179</v>
      </c>
      <c r="I97" s="119">
        <v>50488.95</v>
      </c>
      <c r="J97" s="119">
        <v>48172.71</v>
      </c>
      <c r="K97" s="119">
        <v>47153.4</v>
      </c>
      <c r="L97" s="119">
        <v>42868.95</v>
      </c>
      <c r="M97" s="119">
        <v>37616.480000000003</v>
      </c>
      <c r="U97" s="97"/>
      <c r="V97" s="120" t="s">
        <v>179</v>
      </c>
      <c r="W97" s="121" t="s">
        <v>182</v>
      </c>
      <c r="X97" s="121" t="s">
        <v>183</v>
      </c>
      <c r="Y97" s="121" t="s">
        <v>184</v>
      </c>
      <c r="Z97" s="121" t="s">
        <v>185</v>
      </c>
      <c r="AA97" s="121" t="s">
        <v>186</v>
      </c>
    </row>
    <row r="98" spans="1:27" ht="12.5">
      <c r="H98" s="172"/>
      <c r="I98" s="151"/>
      <c r="J98" s="122"/>
      <c r="K98" s="122"/>
      <c r="L98" s="122"/>
      <c r="M98" s="122"/>
      <c r="U98" s="97"/>
      <c r="V98" s="173"/>
      <c r="W98" s="151"/>
      <c r="X98" s="123"/>
      <c r="Y98" s="123"/>
      <c r="Z98" s="123"/>
      <c r="AA98" s="123"/>
    </row>
    <row r="99" spans="1:27" ht="12.5">
      <c r="H99" s="124"/>
      <c r="I99" s="122"/>
      <c r="J99" s="122"/>
      <c r="K99" s="122"/>
      <c r="L99" s="122"/>
      <c r="M99" s="122"/>
      <c r="U99" s="97"/>
      <c r="V99" s="125"/>
      <c r="W99" s="126"/>
      <c r="X99" s="126"/>
      <c r="Y99" s="126"/>
      <c r="Z99" s="126"/>
      <c r="AA99" s="126"/>
    </row>
    <row r="100" spans="1:27" ht="12.5">
      <c r="H100" s="124"/>
      <c r="I100" s="122"/>
      <c r="J100" s="122"/>
      <c r="K100" s="122"/>
      <c r="L100" s="122"/>
      <c r="M100" s="122"/>
      <c r="U100" s="97"/>
      <c r="V100" s="125"/>
      <c r="W100" s="126"/>
      <c r="X100" s="126"/>
      <c r="Y100" s="126"/>
      <c r="Z100" s="126"/>
      <c r="AA100" s="126"/>
    </row>
    <row r="101" spans="1:27" ht="12.5">
      <c r="H101" s="127"/>
      <c r="I101" s="128"/>
      <c r="J101" s="97"/>
      <c r="K101" s="97"/>
      <c r="L101" s="97"/>
      <c r="M101" s="97"/>
    </row>
    <row r="102" spans="1:27" ht="12.5">
      <c r="H102" s="174"/>
      <c r="I102" s="151"/>
      <c r="J102" s="151"/>
      <c r="K102" s="151"/>
      <c r="L102" s="151"/>
      <c r="M102" s="151"/>
    </row>
    <row r="103" spans="1:27" ht="12.5">
      <c r="H103" s="129"/>
    </row>
    <row r="104" spans="1:27" ht="12.5">
      <c r="A104" s="166" t="s">
        <v>10</v>
      </c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O104" s="166" t="s">
        <v>9</v>
      </c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</row>
    <row r="105" spans="1:27" ht="15.75" customHeight="1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</row>
    <row r="106" spans="1:27" ht="14.5">
      <c r="A106" s="167" t="s">
        <v>73</v>
      </c>
      <c r="B106" s="151"/>
      <c r="C106" s="151"/>
      <c r="D106" s="151"/>
      <c r="E106" s="151"/>
      <c r="F106" s="151"/>
      <c r="H106" s="168" t="s">
        <v>74</v>
      </c>
      <c r="I106" s="151"/>
      <c r="J106" s="151"/>
      <c r="K106" s="151"/>
      <c r="L106" s="151"/>
      <c r="M106" s="151"/>
      <c r="O106" s="167" t="s">
        <v>73</v>
      </c>
      <c r="P106" s="151"/>
      <c r="Q106" s="151"/>
      <c r="R106" s="151"/>
      <c r="S106" s="151"/>
      <c r="T106" s="151"/>
      <c r="V106" s="168" t="s">
        <v>74</v>
      </c>
      <c r="W106" s="151"/>
      <c r="X106" s="151"/>
      <c r="Y106" s="151"/>
      <c r="Z106" s="151"/>
      <c r="AA106" s="151"/>
    </row>
    <row r="107" spans="1:27" ht="14.5">
      <c r="A107" s="21"/>
      <c r="B107" s="53">
        <v>45740</v>
      </c>
      <c r="C107" s="53">
        <v>45739</v>
      </c>
      <c r="D107" s="53">
        <v>45738</v>
      </c>
      <c r="E107" s="53">
        <v>45737</v>
      </c>
      <c r="F107" s="53">
        <v>45736</v>
      </c>
      <c r="H107" s="21"/>
      <c r="I107" s="53">
        <v>45740</v>
      </c>
      <c r="J107" s="53">
        <v>45739</v>
      </c>
      <c r="K107" s="53">
        <v>45738</v>
      </c>
      <c r="L107" s="53">
        <v>45737</v>
      </c>
      <c r="M107" s="53">
        <v>45736</v>
      </c>
      <c r="O107" s="21"/>
      <c r="P107" s="53">
        <v>45740</v>
      </c>
      <c r="Q107" s="53">
        <v>45739</v>
      </c>
      <c r="R107" s="53">
        <v>45738</v>
      </c>
      <c r="S107" s="53">
        <v>45737</v>
      </c>
      <c r="T107" s="53">
        <v>45736</v>
      </c>
      <c r="V107" s="21"/>
      <c r="W107" s="53">
        <v>45740</v>
      </c>
      <c r="X107" s="53">
        <v>45739</v>
      </c>
      <c r="Y107" s="53">
        <v>45738</v>
      </c>
      <c r="Z107" s="53">
        <v>45737</v>
      </c>
      <c r="AA107" s="53">
        <v>45736</v>
      </c>
    </row>
    <row r="108" spans="1:27" ht="14.5">
      <c r="K108" s="87"/>
      <c r="L108" s="88"/>
      <c r="M108" s="88"/>
    </row>
    <row r="109" spans="1:27" ht="12.5">
      <c r="A109" s="55" t="s">
        <v>75</v>
      </c>
      <c r="B109" s="55">
        <v>45843.1</v>
      </c>
      <c r="C109" s="55">
        <v>45581.279999999999</v>
      </c>
      <c r="D109" s="55">
        <v>41616.339999999997</v>
      </c>
      <c r="E109" s="55">
        <v>39639.79</v>
      </c>
      <c r="F109" s="55">
        <v>35588.11</v>
      </c>
      <c r="G109" s="130"/>
      <c r="H109" s="164" t="s">
        <v>77</v>
      </c>
      <c r="I109" s="159"/>
      <c r="J109" s="131"/>
      <c r="K109" s="131"/>
      <c r="L109" s="131"/>
      <c r="M109" s="132"/>
      <c r="N109" s="133"/>
      <c r="O109" s="55" t="s">
        <v>75</v>
      </c>
      <c r="P109" s="55">
        <v>9632.16</v>
      </c>
      <c r="Q109" s="55">
        <v>10607.4</v>
      </c>
      <c r="R109" s="55">
        <v>9188.7800000000007</v>
      </c>
      <c r="S109" s="55">
        <v>9647.89</v>
      </c>
      <c r="T109" s="55">
        <v>10008.07</v>
      </c>
      <c r="U109" s="134"/>
      <c r="V109" s="165" t="s">
        <v>77</v>
      </c>
      <c r="W109" s="159"/>
      <c r="X109" s="135"/>
      <c r="Y109" s="135"/>
      <c r="Z109" s="135"/>
      <c r="AA109" s="135"/>
    </row>
    <row r="110" spans="1:27" ht="12.5">
      <c r="A110" s="58" t="s">
        <v>76</v>
      </c>
      <c r="B110" s="58">
        <v>19035.48</v>
      </c>
      <c r="C110" s="58">
        <v>448.07</v>
      </c>
      <c r="D110" s="58">
        <v>1315.66</v>
      </c>
      <c r="E110" s="58">
        <v>1170.29</v>
      </c>
      <c r="F110" s="58">
        <v>385.32</v>
      </c>
      <c r="H110" s="162" t="s">
        <v>79</v>
      </c>
      <c r="I110" s="159"/>
      <c r="J110" s="101"/>
      <c r="K110" s="101"/>
      <c r="L110" s="101"/>
      <c r="M110" s="136"/>
      <c r="N110" s="137"/>
      <c r="O110" s="58" t="s">
        <v>76</v>
      </c>
      <c r="P110" s="58">
        <v>3418.43</v>
      </c>
      <c r="Q110" s="58">
        <v>939.56</v>
      </c>
      <c r="R110" s="58">
        <v>888.7</v>
      </c>
      <c r="S110" s="58">
        <v>1390.59</v>
      </c>
      <c r="T110" s="58">
        <v>1138.46</v>
      </c>
      <c r="U110" s="97"/>
      <c r="V110" s="163" t="s">
        <v>79</v>
      </c>
      <c r="W110" s="159"/>
      <c r="X110" s="138"/>
      <c r="Y110" s="138"/>
      <c r="Z110" s="138"/>
      <c r="AA110" s="138"/>
    </row>
    <row r="111" spans="1:27" ht="12.5">
      <c r="A111" s="62" t="s">
        <v>78</v>
      </c>
      <c r="B111" s="62">
        <v>26807.62</v>
      </c>
      <c r="C111" s="62">
        <v>45581.279999999999</v>
      </c>
      <c r="D111" s="62">
        <v>39519.64</v>
      </c>
      <c r="E111" s="62">
        <v>38138.129999999997</v>
      </c>
      <c r="F111" s="62">
        <v>35663.440000000002</v>
      </c>
      <c r="H111" s="105" t="s">
        <v>81</v>
      </c>
      <c r="I111" s="110">
        <v>9300.6</v>
      </c>
      <c r="J111" s="110">
        <v>6975.45</v>
      </c>
      <c r="K111" s="110">
        <v>6975.45</v>
      </c>
      <c r="L111" s="110">
        <v>5231.59</v>
      </c>
      <c r="M111" s="139">
        <v>5231.59</v>
      </c>
      <c r="N111" s="137"/>
      <c r="O111" s="62" t="s">
        <v>78</v>
      </c>
      <c r="P111" s="62">
        <v>6213.73</v>
      </c>
      <c r="Q111" s="62">
        <v>9667.84</v>
      </c>
      <c r="R111" s="62">
        <v>8300.08</v>
      </c>
      <c r="S111" s="62">
        <v>8101.7</v>
      </c>
      <c r="T111" s="62">
        <v>8869.61</v>
      </c>
      <c r="U111" s="97"/>
      <c r="V111" s="140" t="s">
        <v>81</v>
      </c>
      <c r="W111" s="141">
        <v>10045.030000000001</v>
      </c>
      <c r="X111" s="141">
        <v>10045.030000000001</v>
      </c>
      <c r="Y111" s="141">
        <v>10045.030000000001</v>
      </c>
      <c r="Z111" s="141">
        <v>10045.030000000001</v>
      </c>
      <c r="AA111" s="141">
        <v>10045.030000000001</v>
      </c>
    </row>
    <row r="112" spans="1:27" ht="12.5">
      <c r="A112" s="64" t="s">
        <v>80</v>
      </c>
      <c r="B112" s="64">
        <v>27808.23</v>
      </c>
      <c r="C112" s="64">
        <v>29070.47</v>
      </c>
      <c r="D112" s="64">
        <v>25957.32</v>
      </c>
      <c r="E112" s="64">
        <v>24820.560000000001</v>
      </c>
      <c r="F112" s="64">
        <v>15762.02</v>
      </c>
      <c r="H112" s="108" t="s">
        <v>83</v>
      </c>
      <c r="I112" s="111">
        <v>9300.6</v>
      </c>
      <c r="J112" s="111">
        <v>6975.45</v>
      </c>
      <c r="K112" s="111">
        <v>6975.45</v>
      </c>
      <c r="L112" s="111">
        <v>5231.59</v>
      </c>
      <c r="M112" s="142">
        <v>5231.59</v>
      </c>
      <c r="N112" s="137"/>
      <c r="O112" s="64" t="s">
        <v>80</v>
      </c>
      <c r="P112" s="64">
        <v>6350.39</v>
      </c>
      <c r="Q112" s="64">
        <v>6028.22</v>
      </c>
      <c r="R112" s="64">
        <v>5724.01</v>
      </c>
      <c r="S112" s="64">
        <v>6248.79</v>
      </c>
      <c r="T112" s="64">
        <v>5990.03</v>
      </c>
      <c r="U112" s="97"/>
      <c r="V112" s="143" t="s">
        <v>83</v>
      </c>
      <c r="W112" s="144">
        <v>10045.030000000001</v>
      </c>
      <c r="X112" s="144">
        <v>10045.030000000001</v>
      </c>
      <c r="Y112" s="144">
        <v>10045.030000000001</v>
      </c>
      <c r="Z112" s="144">
        <v>10045.030000000001</v>
      </c>
      <c r="AA112" s="144">
        <v>10045.030000000001</v>
      </c>
    </row>
    <row r="113" spans="1:27" ht="12.5">
      <c r="A113" s="62" t="s">
        <v>82</v>
      </c>
      <c r="B113" s="62">
        <v>0</v>
      </c>
      <c r="C113" s="62">
        <v>4023.34</v>
      </c>
      <c r="D113" s="62">
        <v>2243.89</v>
      </c>
      <c r="E113" s="62">
        <v>273.08999999999997</v>
      </c>
      <c r="F113" s="62">
        <v>3206.04</v>
      </c>
      <c r="H113" s="105" t="s">
        <v>86</v>
      </c>
      <c r="I113" s="110">
        <v>77566.45</v>
      </c>
      <c r="J113" s="110">
        <v>75857.509999999995</v>
      </c>
      <c r="K113" s="110">
        <v>69176.12</v>
      </c>
      <c r="L113" s="110">
        <v>64347.25</v>
      </c>
      <c r="M113" s="139">
        <v>59208.1</v>
      </c>
      <c r="N113" s="137"/>
      <c r="O113" s="62" t="s">
        <v>82</v>
      </c>
      <c r="P113" s="62">
        <v>0</v>
      </c>
      <c r="Q113" s="62">
        <v>1435.28</v>
      </c>
      <c r="R113" s="62">
        <v>1554.76</v>
      </c>
      <c r="S113" s="62">
        <v>437.1</v>
      </c>
      <c r="T113" s="62">
        <v>3320.97</v>
      </c>
      <c r="U113" s="97"/>
      <c r="V113" s="145" t="s">
        <v>86</v>
      </c>
      <c r="W113" s="146">
        <v>27223.58</v>
      </c>
      <c r="X113" s="146">
        <v>25362.93</v>
      </c>
      <c r="Y113" s="146">
        <v>23441.07</v>
      </c>
      <c r="Z113" s="146">
        <v>21602.28</v>
      </c>
      <c r="AA113" s="146">
        <v>19938.78</v>
      </c>
    </row>
    <row r="114" spans="1:27" ht="12.5">
      <c r="A114" s="58" t="s">
        <v>85</v>
      </c>
      <c r="B114" s="58">
        <v>27808.23</v>
      </c>
      <c r="C114" s="58">
        <v>25022.66</v>
      </c>
      <c r="D114" s="58">
        <v>1380</v>
      </c>
      <c r="E114" s="58">
        <v>16256.44</v>
      </c>
      <c r="F114" s="58">
        <v>1071.8699999999999</v>
      </c>
      <c r="H114" s="108" t="s">
        <v>93</v>
      </c>
      <c r="I114" s="111">
        <v>77566.45</v>
      </c>
      <c r="J114" s="111">
        <v>75857.509999999995</v>
      </c>
      <c r="K114" s="111">
        <v>69176.12</v>
      </c>
      <c r="L114" s="111">
        <v>64347.25</v>
      </c>
      <c r="M114" s="142">
        <v>59208.1</v>
      </c>
      <c r="N114" s="137"/>
      <c r="O114" s="58" t="s">
        <v>85</v>
      </c>
      <c r="P114" s="58">
        <v>6350.39</v>
      </c>
      <c r="Q114" s="58">
        <v>4570.58</v>
      </c>
      <c r="R114" s="58">
        <v>1557.97</v>
      </c>
      <c r="S114" s="58">
        <v>1405</v>
      </c>
      <c r="T114" s="58">
        <v>1157.7</v>
      </c>
      <c r="U114" s="97"/>
      <c r="V114" s="143" t="s">
        <v>93</v>
      </c>
      <c r="W114" s="144">
        <v>27223.58</v>
      </c>
      <c r="X114" s="144">
        <v>25362.93</v>
      </c>
      <c r="Y114" s="144">
        <v>23441.07</v>
      </c>
      <c r="Z114" s="144">
        <v>21602.28</v>
      </c>
      <c r="AA114" s="144">
        <v>19938.78</v>
      </c>
    </row>
    <row r="115" spans="1:27" ht="12.5">
      <c r="A115" s="62" t="s">
        <v>92</v>
      </c>
      <c r="B115" s="62">
        <v>0</v>
      </c>
      <c r="C115" s="62">
        <v>17.239999999999998</v>
      </c>
      <c r="D115" s="62">
        <v>0</v>
      </c>
      <c r="E115" s="62">
        <v>7.38</v>
      </c>
      <c r="F115" s="62">
        <v>0</v>
      </c>
      <c r="H115" s="108" t="s">
        <v>95</v>
      </c>
      <c r="I115" s="111">
        <v>86867.05</v>
      </c>
      <c r="J115" s="111">
        <v>82832.960000000006</v>
      </c>
      <c r="K115" s="111">
        <v>76151.570000000007</v>
      </c>
      <c r="L115" s="111">
        <v>69578.84</v>
      </c>
      <c r="M115" s="142">
        <v>64439.69</v>
      </c>
      <c r="N115" s="137"/>
      <c r="O115" s="62" t="s">
        <v>92</v>
      </c>
      <c r="P115" s="62">
        <v>0</v>
      </c>
      <c r="Q115" s="62">
        <v>11.06</v>
      </c>
      <c r="R115" s="62">
        <v>0</v>
      </c>
      <c r="S115" s="62">
        <v>4.7300000000000004</v>
      </c>
      <c r="T115" s="62">
        <v>0</v>
      </c>
      <c r="U115" s="97"/>
      <c r="V115" s="143" t="s">
        <v>95</v>
      </c>
      <c r="W115" s="144">
        <v>37268.61</v>
      </c>
      <c r="X115" s="144">
        <v>35407.96</v>
      </c>
      <c r="Y115" s="144">
        <v>33486.1</v>
      </c>
      <c r="Z115" s="144">
        <v>31647.31</v>
      </c>
      <c r="AA115" s="144">
        <v>29983.81</v>
      </c>
    </row>
    <row r="116" spans="1:27" ht="12.5">
      <c r="A116" s="58" t="s">
        <v>94</v>
      </c>
      <c r="B116" s="58">
        <v>0</v>
      </c>
      <c r="C116" s="58">
        <v>7.23</v>
      </c>
      <c r="D116" s="58">
        <v>0.34</v>
      </c>
      <c r="E116" s="58">
        <v>4.55</v>
      </c>
      <c r="F116" s="58">
        <v>9.5399999999999991</v>
      </c>
      <c r="H116" s="162" t="s">
        <v>102</v>
      </c>
      <c r="I116" s="159"/>
      <c r="J116" s="101"/>
      <c r="K116" s="101"/>
      <c r="L116" s="101"/>
      <c r="M116" s="136"/>
      <c r="N116" s="137"/>
      <c r="O116" s="58" t="s">
        <v>94</v>
      </c>
      <c r="P116" s="58">
        <v>0</v>
      </c>
      <c r="Q116" s="58">
        <v>11.3</v>
      </c>
      <c r="R116" s="58">
        <v>0</v>
      </c>
      <c r="S116" s="58">
        <v>0</v>
      </c>
      <c r="T116" s="58">
        <v>0</v>
      </c>
      <c r="U116" s="97"/>
      <c r="V116" s="163" t="s">
        <v>102</v>
      </c>
      <c r="W116" s="159"/>
      <c r="X116" s="138"/>
      <c r="Y116" s="138"/>
      <c r="Z116" s="138"/>
      <c r="AA116" s="138"/>
    </row>
    <row r="117" spans="1:27" ht="12.5">
      <c r="A117" s="62" t="s">
        <v>101</v>
      </c>
      <c r="B117" s="62">
        <v>13095.27</v>
      </c>
      <c r="C117" s="62">
        <v>13333.38</v>
      </c>
      <c r="D117" s="62">
        <v>12871.66</v>
      </c>
      <c r="E117" s="62">
        <v>12039.19</v>
      </c>
      <c r="F117" s="62">
        <v>11607.04</v>
      </c>
      <c r="H117" s="105" t="s">
        <v>104</v>
      </c>
      <c r="I117" s="106" t="s">
        <v>192</v>
      </c>
      <c r="J117" s="106" t="s">
        <v>193</v>
      </c>
      <c r="K117" s="106" t="s">
        <v>194</v>
      </c>
      <c r="L117" s="106" t="s">
        <v>195</v>
      </c>
      <c r="M117" s="147" t="s">
        <v>196</v>
      </c>
      <c r="N117" s="137"/>
      <c r="O117" s="62" t="s">
        <v>101</v>
      </c>
      <c r="P117" s="62">
        <v>1184.1300000000001</v>
      </c>
      <c r="Q117" s="62">
        <v>1214.67</v>
      </c>
      <c r="R117" s="62">
        <v>1190.3</v>
      </c>
      <c r="S117" s="62">
        <v>1298.3</v>
      </c>
      <c r="T117" s="62">
        <v>1614.04</v>
      </c>
      <c r="U117" s="97"/>
      <c r="V117" s="145" t="s">
        <v>104</v>
      </c>
      <c r="W117" s="146">
        <v>26338.22</v>
      </c>
      <c r="X117" s="146">
        <v>25254.69</v>
      </c>
      <c r="Y117" s="146">
        <v>23166.61</v>
      </c>
      <c r="Z117" s="146">
        <v>21241.22</v>
      </c>
      <c r="AA117" s="146">
        <v>20889.740000000002</v>
      </c>
    </row>
    <row r="118" spans="1:27" ht="12.5">
      <c r="A118" s="64" t="s">
        <v>103</v>
      </c>
      <c r="B118" s="64">
        <v>18034.87</v>
      </c>
      <c r="C118" s="64">
        <v>27086.99</v>
      </c>
      <c r="D118" s="64">
        <v>27015.57</v>
      </c>
      <c r="E118" s="64">
        <v>23051.98</v>
      </c>
      <c r="F118" s="64">
        <v>21658.84</v>
      </c>
      <c r="H118" s="105" t="s">
        <v>112</v>
      </c>
      <c r="I118" s="110">
        <v>9981.4</v>
      </c>
      <c r="J118" s="110">
        <v>10631.12</v>
      </c>
      <c r="K118" s="110">
        <v>11424.78</v>
      </c>
      <c r="L118" s="110">
        <v>11941.88</v>
      </c>
      <c r="M118" s="139">
        <v>11381.85</v>
      </c>
      <c r="N118" s="137"/>
      <c r="O118" s="64" t="s">
        <v>103</v>
      </c>
      <c r="P118" s="64">
        <v>3281.77</v>
      </c>
      <c r="Q118" s="64">
        <v>5725.85</v>
      </c>
      <c r="R118" s="64">
        <v>3464.77</v>
      </c>
      <c r="S118" s="64">
        <v>3399.1</v>
      </c>
      <c r="T118" s="64">
        <v>3934.32</v>
      </c>
      <c r="U118" s="97"/>
      <c r="V118" s="145" t="s">
        <v>112</v>
      </c>
      <c r="W118" s="146">
        <v>1668.45</v>
      </c>
      <c r="X118" s="146">
        <v>1937.34</v>
      </c>
      <c r="Y118" s="146">
        <v>2100.7399999999998</v>
      </c>
      <c r="Z118" s="146">
        <v>3589.36</v>
      </c>
      <c r="AA118" s="146">
        <v>3641.19</v>
      </c>
    </row>
    <row r="119" spans="1:27" ht="12.5">
      <c r="A119" s="62" t="s">
        <v>111</v>
      </c>
      <c r="B119" s="62">
        <v>0</v>
      </c>
      <c r="C119" s="62">
        <v>9596.75</v>
      </c>
      <c r="D119" s="62">
        <v>7957.75</v>
      </c>
      <c r="E119" s="62">
        <v>7919.99</v>
      </c>
      <c r="F119" s="62">
        <v>-10878.45</v>
      </c>
      <c r="H119" s="105" t="s">
        <v>114</v>
      </c>
      <c r="I119" s="110">
        <v>3595.23</v>
      </c>
      <c r="J119" s="110">
        <v>3823.4</v>
      </c>
      <c r="K119" s="110">
        <v>3790.93</v>
      </c>
      <c r="L119" s="110">
        <v>3932.11</v>
      </c>
      <c r="M119" s="139">
        <v>3876.67</v>
      </c>
      <c r="N119" s="137"/>
      <c r="O119" s="62" t="s">
        <v>111</v>
      </c>
      <c r="P119" s="62">
        <v>0</v>
      </c>
      <c r="Q119" s="62">
        <v>-479.35</v>
      </c>
      <c r="R119" s="62">
        <v>533.66999999999996</v>
      </c>
      <c r="S119" s="62">
        <v>655.44</v>
      </c>
      <c r="T119" s="62">
        <v>-421.88</v>
      </c>
      <c r="U119" s="97"/>
      <c r="V119" s="145" t="s">
        <v>114</v>
      </c>
      <c r="W119" s="146">
        <v>4428.51</v>
      </c>
      <c r="X119" s="146">
        <v>4099.33</v>
      </c>
      <c r="Y119" s="146">
        <v>4127.08</v>
      </c>
      <c r="Z119" s="146">
        <v>4088.94</v>
      </c>
      <c r="AA119" s="146">
        <v>4141.88</v>
      </c>
    </row>
    <row r="120" spans="1:27" ht="12.5">
      <c r="A120" s="58" t="s">
        <v>113</v>
      </c>
      <c r="B120" s="58">
        <v>-7702.73</v>
      </c>
      <c r="C120" s="58">
        <v>-9633.94</v>
      </c>
      <c r="D120" s="58">
        <v>-3555.86</v>
      </c>
      <c r="E120" s="58">
        <v>7912.95</v>
      </c>
      <c r="F120" s="58">
        <v>0</v>
      </c>
      <c r="H120" s="105" t="s">
        <v>116</v>
      </c>
      <c r="I120" s="106">
        <v>643.11</v>
      </c>
      <c r="J120" s="106">
        <v>577.61</v>
      </c>
      <c r="K120" s="106">
        <v>517.04999999999995</v>
      </c>
      <c r="L120" s="106">
        <v>461.93</v>
      </c>
      <c r="M120" s="147">
        <v>424.71</v>
      </c>
      <c r="N120" s="137"/>
      <c r="O120" s="58" t="s">
        <v>113</v>
      </c>
      <c r="P120" s="58">
        <v>579.32000000000005</v>
      </c>
      <c r="Q120" s="58">
        <v>-474.26</v>
      </c>
      <c r="R120" s="58">
        <v>430.39</v>
      </c>
      <c r="S120" s="58">
        <v>-338.01</v>
      </c>
      <c r="T120" s="58">
        <v>0</v>
      </c>
      <c r="U120" s="97"/>
      <c r="V120" s="145" t="s">
        <v>116</v>
      </c>
      <c r="W120" s="146">
        <v>59.71</v>
      </c>
      <c r="X120" s="146">
        <v>50.92</v>
      </c>
      <c r="Y120" s="146">
        <v>48.05</v>
      </c>
      <c r="Z120" s="148">
        <v>28.38</v>
      </c>
      <c r="AA120" s="148">
        <v>27.66</v>
      </c>
    </row>
    <row r="121" spans="1:27" ht="12.5">
      <c r="A121" s="81" t="s">
        <v>115</v>
      </c>
      <c r="B121" s="81">
        <v>40401.519999999997</v>
      </c>
      <c r="C121" s="81">
        <v>40751.06</v>
      </c>
      <c r="D121" s="81">
        <v>41047.26</v>
      </c>
      <c r="E121" s="81">
        <v>36326.019999999997</v>
      </c>
      <c r="F121" s="81">
        <v>34391.49</v>
      </c>
      <c r="H121" s="108" t="s">
        <v>118</v>
      </c>
      <c r="I121" s="109" t="s">
        <v>197</v>
      </c>
      <c r="J121" s="109" t="s">
        <v>198</v>
      </c>
      <c r="K121" s="109" t="s">
        <v>199</v>
      </c>
      <c r="L121" s="109" t="s">
        <v>200</v>
      </c>
      <c r="M121" s="149" t="s">
        <v>201</v>
      </c>
      <c r="N121" s="137"/>
      <c r="O121" s="81" t="s">
        <v>115</v>
      </c>
      <c r="P121" s="81">
        <v>6625.53</v>
      </c>
      <c r="Q121" s="81">
        <v>6905</v>
      </c>
      <c r="R121" s="81">
        <v>4941.32</v>
      </c>
      <c r="S121" s="81">
        <v>6436.85</v>
      </c>
      <c r="T121" s="81">
        <v>6939.28</v>
      </c>
      <c r="U121" s="97"/>
      <c r="V121" s="143" t="s">
        <v>118</v>
      </c>
      <c r="W121" s="144">
        <v>32494.89</v>
      </c>
      <c r="X121" s="144">
        <v>31342.28</v>
      </c>
      <c r="Y121" s="144">
        <v>29442.48</v>
      </c>
      <c r="Z121" s="144">
        <v>28947.9</v>
      </c>
      <c r="AA121" s="144">
        <v>28700.47</v>
      </c>
    </row>
    <row r="122" spans="1:27" ht="12.5">
      <c r="A122" s="58" t="s">
        <v>117</v>
      </c>
      <c r="B122" s="58">
        <v>13095.27</v>
      </c>
      <c r="C122" s="58">
        <v>13333.38</v>
      </c>
      <c r="D122" s="58">
        <v>12871.66</v>
      </c>
      <c r="E122" s="58">
        <v>12039.19</v>
      </c>
      <c r="F122" s="58">
        <v>11607.04</v>
      </c>
      <c r="H122" s="162" t="s">
        <v>124</v>
      </c>
      <c r="I122" s="159"/>
      <c r="J122" s="101"/>
      <c r="K122" s="101"/>
      <c r="L122" s="101"/>
      <c r="M122" s="136"/>
      <c r="N122" s="137"/>
      <c r="O122" s="58" t="s">
        <v>117</v>
      </c>
      <c r="P122" s="58">
        <v>1184.1300000000001</v>
      </c>
      <c r="Q122" s="58">
        <v>1214.67</v>
      </c>
      <c r="R122" s="58">
        <v>1190.3</v>
      </c>
      <c r="S122" s="58">
        <v>1298.3</v>
      </c>
      <c r="T122" s="58">
        <v>1614.04</v>
      </c>
      <c r="U122" s="97"/>
      <c r="V122" s="163" t="s">
        <v>124</v>
      </c>
      <c r="W122" s="159"/>
      <c r="X122" s="138"/>
      <c r="Y122" s="138"/>
      <c r="Z122" s="138"/>
      <c r="AA122" s="138"/>
    </row>
    <row r="123" spans="1:27" ht="12.5">
      <c r="A123" s="81" t="s">
        <v>50</v>
      </c>
      <c r="B123" s="81">
        <v>27306.25</v>
      </c>
      <c r="C123" s="81">
        <v>27417.68</v>
      </c>
      <c r="D123" s="81">
        <v>27645.86</v>
      </c>
      <c r="E123" s="81">
        <v>24286.83</v>
      </c>
      <c r="F123" s="81">
        <v>22784.45</v>
      </c>
      <c r="H123" s="105" t="s">
        <v>125</v>
      </c>
      <c r="I123" s="110">
        <v>18381.669999999998</v>
      </c>
      <c r="J123" s="110">
        <v>12703.61</v>
      </c>
      <c r="K123" s="110">
        <v>20465.87</v>
      </c>
      <c r="L123" s="110">
        <v>1800</v>
      </c>
      <c r="M123" s="139">
        <v>3000</v>
      </c>
      <c r="N123" s="137"/>
      <c r="O123" s="81" t="s">
        <v>50</v>
      </c>
      <c r="P123" s="81">
        <v>5441.4</v>
      </c>
      <c r="Q123" s="81">
        <v>5690.33</v>
      </c>
      <c r="R123" s="81">
        <v>3751.02</v>
      </c>
      <c r="S123" s="81">
        <v>5138.55</v>
      </c>
      <c r="T123" s="81">
        <v>5325.24</v>
      </c>
      <c r="U123" s="97"/>
      <c r="V123" s="145" t="s">
        <v>125</v>
      </c>
      <c r="W123" s="146">
        <v>3052.77</v>
      </c>
      <c r="X123" s="146">
        <v>2885.65</v>
      </c>
      <c r="Y123" s="146">
        <v>2848.76</v>
      </c>
      <c r="Z123" s="146">
        <v>726.03</v>
      </c>
      <c r="AA123" s="146">
        <v>714.31</v>
      </c>
    </row>
    <row r="124" spans="1:27" ht="12.5">
      <c r="A124" s="58" t="s">
        <v>51</v>
      </c>
      <c r="B124" s="58">
        <v>8772.75</v>
      </c>
      <c r="C124" s="58">
        <v>9633.94</v>
      </c>
      <c r="D124" s="58">
        <v>8036.22</v>
      </c>
      <c r="E124" s="58">
        <v>8134.69</v>
      </c>
      <c r="F124" s="58">
        <v>9877.7000000000007</v>
      </c>
      <c r="H124" s="105" t="s">
        <v>127</v>
      </c>
      <c r="I124" s="106">
        <v>354.07</v>
      </c>
      <c r="J124" s="106">
        <v>325.02</v>
      </c>
      <c r="K124" s="106">
        <v>266.14</v>
      </c>
      <c r="L124" s="106">
        <v>186.3</v>
      </c>
      <c r="M124" s="147">
        <v>225.72</v>
      </c>
      <c r="N124" s="137"/>
      <c r="O124" s="58" t="s">
        <v>51</v>
      </c>
      <c r="P124" s="58">
        <v>402.38</v>
      </c>
      <c r="Q124" s="58">
        <v>474.26</v>
      </c>
      <c r="R124" s="58">
        <v>532.28</v>
      </c>
      <c r="S124" s="58">
        <v>649.95000000000005</v>
      </c>
      <c r="T124" s="58">
        <v>1469.52</v>
      </c>
      <c r="U124" s="97"/>
      <c r="V124" s="145" t="s">
        <v>127</v>
      </c>
      <c r="W124" s="146">
        <v>258.85000000000002</v>
      </c>
      <c r="X124" s="146">
        <v>215.45</v>
      </c>
      <c r="Y124" s="146">
        <v>189.57</v>
      </c>
      <c r="Z124" s="146">
        <v>201.34</v>
      </c>
      <c r="AA124" s="146">
        <v>304.26</v>
      </c>
    </row>
    <row r="125" spans="1:27" ht="12.5">
      <c r="A125" s="81" t="s">
        <v>126</v>
      </c>
      <c r="B125" s="81">
        <v>18533.5</v>
      </c>
      <c r="C125" s="81">
        <v>17783.740000000002</v>
      </c>
      <c r="D125" s="81">
        <v>19531.169999999998</v>
      </c>
      <c r="E125" s="81">
        <v>15286.01</v>
      </c>
      <c r="F125" s="81">
        <v>12906.75</v>
      </c>
      <c r="H125" s="105" t="s">
        <v>129</v>
      </c>
      <c r="I125" s="110">
        <v>19948.57</v>
      </c>
      <c r="J125" s="110">
        <v>20727.14</v>
      </c>
      <c r="K125" s="110">
        <v>20129.59</v>
      </c>
      <c r="L125" s="110">
        <v>36514.92</v>
      </c>
      <c r="M125" s="139">
        <v>36037.96</v>
      </c>
      <c r="N125" s="137"/>
      <c r="O125" s="81" t="s">
        <v>126</v>
      </c>
      <c r="P125" s="81">
        <v>5039.0200000000004</v>
      </c>
      <c r="Q125" s="81">
        <v>5216.07</v>
      </c>
      <c r="R125" s="81">
        <v>3218.74</v>
      </c>
      <c r="S125" s="81">
        <v>4488.6000000000004</v>
      </c>
      <c r="T125" s="81">
        <v>3855.72</v>
      </c>
      <c r="U125" s="97"/>
      <c r="V125" s="145" t="s">
        <v>129</v>
      </c>
      <c r="W125" s="146">
        <v>3557.92</v>
      </c>
      <c r="X125" s="146">
        <v>3201.55</v>
      </c>
      <c r="Y125" s="146">
        <v>3196.96</v>
      </c>
      <c r="Z125" s="146">
        <v>3526.47</v>
      </c>
      <c r="AA125" s="146">
        <v>3682.51</v>
      </c>
    </row>
    <row r="126" spans="1:27" ht="12.5">
      <c r="A126" s="58" t="s">
        <v>128</v>
      </c>
      <c r="B126" s="58">
        <v>2940.79</v>
      </c>
      <c r="C126" s="58">
        <v>2284.5</v>
      </c>
      <c r="D126" s="58">
        <v>2785.57</v>
      </c>
      <c r="E126" s="58">
        <v>3464.25</v>
      </c>
      <c r="F126" s="58">
        <v>3530.75</v>
      </c>
      <c r="H126" s="105" t="s">
        <v>131</v>
      </c>
      <c r="I126" s="106">
        <v>583.36</v>
      </c>
      <c r="J126" s="106">
        <v>781.41</v>
      </c>
      <c r="K126" s="106">
        <v>932.31</v>
      </c>
      <c r="L126" s="106">
        <v>835.88</v>
      </c>
      <c r="M126" s="147">
        <v>741.95</v>
      </c>
      <c r="N126" s="137"/>
      <c r="O126" s="58" t="s">
        <v>128</v>
      </c>
      <c r="P126" s="58">
        <v>1015.41</v>
      </c>
      <c r="Q126" s="58">
        <v>976.24</v>
      </c>
      <c r="R126" s="58">
        <v>-556.98</v>
      </c>
      <c r="S126" s="58">
        <v>900.98</v>
      </c>
      <c r="T126" s="58">
        <v>-79.400000000000006</v>
      </c>
      <c r="U126" s="97"/>
      <c r="V126" s="145" t="s">
        <v>131</v>
      </c>
      <c r="W126" s="146">
        <v>2169.5500000000002</v>
      </c>
      <c r="X126" s="146">
        <v>1662.23</v>
      </c>
      <c r="Y126" s="146">
        <v>1135.75</v>
      </c>
      <c r="Z126" s="146">
        <v>1252.98</v>
      </c>
      <c r="AA126" s="146">
        <v>1228.1600000000001</v>
      </c>
    </row>
    <row r="127" spans="1:27" ht="12.5">
      <c r="A127" s="62" t="s">
        <v>130</v>
      </c>
      <c r="B127" s="62">
        <v>2940.79</v>
      </c>
      <c r="C127" s="62">
        <v>2284.5</v>
      </c>
      <c r="D127" s="62">
        <v>2785.57</v>
      </c>
      <c r="E127" s="62">
        <v>3464.25</v>
      </c>
      <c r="F127" s="62">
        <v>3530.75</v>
      </c>
      <c r="H127" s="108" t="s">
        <v>133</v>
      </c>
      <c r="I127" s="111">
        <v>39267.67</v>
      </c>
      <c r="J127" s="111">
        <v>34537.18</v>
      </c>
      <c r="K127" s="111">
        <v>41793.910000000003</v>
      </c>
      <c r="L127" s="111">
        <v>39337.1</v>
      </c>
      <c r="M127" s="142">
        <v>40005.629999999997</v>
      </c>
      <c r="N127" s="137"/>
      <c r="O127" s="62" t="s">
        <v>130</v>
      </c>
      <c r="P127" s="62">
        <v>1015.41</v>
      </c>
      <c r="Q127" s="62">
        <v>976.24</v>
      </c>
      <c r="R127" s="62">
        <v>-556.98</v>
      </c>
      <c r="S127" s="62">
        <v>900.98</v>
      </c>
      <c r="T127" s="62">
        <v>290.5</v>
      </c>
      <c r="U127" s="97"/>
      <c r="V127" s="143" t="s">
        <v>133</v>
      </c>
      <c r="W127" s="144">
        <v>9039.09</v>
      </c>
      <c r="X127" s="144">
        <v>7964.88</v>
      </c>
      <c r="Y127" s="144">
        <v>7371.04</v>
      </c>
      <c r="Z127" s="144">
        <v>5706.82</v>
      </c>
      <c r="AA127" s="144">
        <v>5929.24</v>
      </c>
    </row>
    <row r="128" spans="1:27" ht="12.5">
      <c r="A128" s="64" t="s">
        <v>132</v>
      </c>
      <c r="B128" s="64">
        <v>15592.71</v>
      </c>
      <c r="C128" s="64">
        <v>15499.24</v>
      </c>
      <c r="D128" s="64">
        <v>16745.599999999999</v>
      </c>
      <c r="E128" s="64">
        <v>11821.76</v>
      </c>
      <c r="F128" s="64">
        <v>9376</v>
      </c>
      <c r="H128" s="108" t="s">
        <v>135</v>
      </c>
      <c r="I128" s="109" t="s">
        <v>202</v>
      </c>
      <c r="J128" s="109" t="s">
        <v>203</v>
      </c>
      <c r="K128" s="109" t="s">
        <v>204</v>
      </c>
      <c r="L128" s="109" t="s">
        <v>205</v>
      </c>
      <c r="M128" s="149" t="s">
        <v>206</v>
      </c>
      <c r="N128" s="137"/>
      <c r="O128" s="64" t="s">
        <v>132</v>
      </c>
      <c r="P128" s="64">
        <v>4023.61</v>
      </c>
      <c r="Q128" s="64">
        <v>4239.83</v>
      </c>
      <c r="R128" s="64">
        <v>3775.72</v>
      </c>
      <c r="S128" s="64">
        <v>3587.62</v>
      </c>
      <c r="T128" s="64">
        <v>3565.22</v>
      </c>
      <c r="U128" s="97"/>
      <c r="V128" s="143" t="s">
        <v>135</v>
      </c>
      <c r="W128" s="144">
        <v>78802.59</v>
      </c>
      <c r="X128" s="144">
        <v>74715.12</v>
      </c>
      <c r="Y128" s="144">
        <v>70299.62</v>
      </c>
      <c r="Z128" s="144">
        <v>66302.03</v>
      </c>
      <c r="AA128" s="144">
        <v>64613.52</v>
      </c>
    </row>
    <row r="129" spans="1:27" ht="12.5">
      <c r="A129" s="64" t="s">
        <v>134</v>
      </c>
      <c r="B129" s="64">
        <v>15573.16</v>
      </c>
      <c r="C129" s="64">
        <v>15499.24</v>
      </c>
      <c r="D129" s="64">
        <v>16824.07</v>
      </c>
      <c r="E129" s="64">
        <v>12036.46</v>
      </c>
      <c r="F129" s="64">
        <v>9376</v>
      </c>
      <c r="H129" s="162" t="s">
        <v>142</v>
      </c>
      <c r="I129" s="159"/>
      <c r="J129" s="101"/>
      <c r="K129" s="101"/>
      <c r="L129" s="101"/>
      <c r="M129" s="136"/>
      <c r="N129" s="137"/>
      <c r="O129" s="64" t="s">
        <v>134</v>
      </c>
      <c r="P129" s="64">
        <v>3624.42</v>
      </c>
      <c r="Q129" s="64">
        <v>4239.83</v>
      </c>
      <c r="R129" s="64">
        <v>3523.57</v>
      </c>
      <c r="S129" s="64">
        <v>3257</v>
      </c>
      <c r="T129" s="64">
        <v>3115.11</v>
      </c>
      <c r="U129" s="97"/>
      <c r="V129" s="163" t="s">
        <v>142</v>
      </c>
      <c r="W129" s="159"/>
      <c r="X129" s="138"/>
      <c r="Y129" s="138"/>
      <c r="Z129" s="138"/>
      <c r="AA129" s="138"/>
    </row>
    <row r="130" spans="1:27" ht="12.5">
      <c r="A130" s="64" t="s">
        <v>141</v>
      </c>
      <c r="B130" s="64">
        <v>15573.16</v>
      </c>
      <c r="C130" s="64">
        <v>15499.24</v>
      </c>
      <c r="D130" s="64">
        <v>16824.07</v>
      </c>
      <c r="E130" s="64">
        <v>12036.46</v>
      </c>
      <c r="F130" s="64">
        <v>11059.4</v>
      </c>
      <c r="H130" s="162" t="s">
        <v>144</v>
      </c>
      <c r="I130" s="159"/>
      <c r="J130" s="101"/>
      <c r="K130" s="101"/>
      <c r="L130" s="101"/>
      <c r="M130" s="136"/>
      <c r="N130" s="137"/>
      <c r="O130" s="64" t="s">
        <v>141</v>
      </c>
      <c r="P130" s="64">
        <v>3624.42</v>
      </c>
      <c r="Q130" s="64">
        <v>4239.83</v>
      </c>
      <c r="R130" s="64">
        <v>3523.57</v>
      </c>
      <c r="S130" s="64">
        <v>3257</v>
      </c>
      <c r="T130" s="64">
        <v>2884.92</v>
      </c>
      <c r="U130" s="97"/>
      <c r="V130" s="163" t="s">
        <v>144</v>
      </c>
      <c r="W130" s="159"/>
      <c r="X130" s="138"/>
      <c r="Y130" s="138"/>
      <c r="Z130" s="138"/>
      <c r="AA130" s="138"/>
    </row>
    <row r="131" spans="1:27" ht="12.5">
      <c r="A131" s="64" t="s">
        <v>143</v>
      </c>
      <c r="B131" s="64">
        <v>17.36</v>
      </c>
      <c r="C131" s="64">
        <v>16.579999999999998</v>
      </c>
      <c r="D131" s="64">
        <v>18.09</v>
      </c>
      <c r="E131" s="64">
        <v>12.95</v>
      </c>
      <c r="F131" s="64">
        <v>11.89</v>
      </c>
      <c r="H131" s="105" t="s">
        <v>145</v>
      </c>
      <c r="I131" s="106" t="s">
        <v>207</v>
      </c>
      <c r="J131" s="106" t="s">
        <v>208</v>
      </c>
      <c r="K131" s="106" t="s">
        <v>209</v>
      </c>
      <c r="L131" s="106" t="s">
        <v>210</v>
      </c>
      <c r="M131" s="147" t="s">
        <v>211</v>
      </c>
      <c r="N131" s="137"/>
      <c r="O131" s="64" t="s">
        <v>143</v>
      </c>
      <c r="P131" s="64">
        <v>3.61</v>
      </c>
      <c r="Q131" s="64">
        <v>3.87</v>
      </c>
      <c r="R131" s="64">
        <v>3.51</v>
      </c>
      <c r="S131" s="64">
        <v>3.24</v>
      </c>
      <c r="T131" s="64">
        <v>2.87</v>
      </c>
      <c r="U131" s="97"/>
      <c r="V131" s="145" t="s">
        <v>145</v>
      </c>
      <c r="W131" s="146">
        <v>19212.060000000001</v>
      </c>
      <c r="X131" s="146">
        <v>20060.73</v>
      </c>
      <c r="Y131" s="146">
        <v>20807.669999999998</v>
      </c>
      <c r="Z131" s="146">
        <v>20916.53</v>
      </c>
      <c r="AA131" s="146">
        <v>23290.31</v>
      </c>
    </row>
    <row r="132" spans="1:27" ht="12.5">
      <c r="A132" s="114"/>
      <c r="B132" s="115"/>
      <c r="C132" s="115"/>
      <c r="D132" s="115"/>
      <c r="E132" s="115"/>
      <c r="F132" s="115"/>
      <c r="H132" s="105" t="s">
        <v>151</v>
      </c>
      <c r="I132" s="110">
        <v>1366.7</v>
      </c>
      <c r="J132" s="110">
        <v>1476.19</v>
      </c>
      <c r="K132" s="110">
        <v>1556.13</v>
      </c>
      <c r="L132" s="110">
        <v>1551.44</v>
      </c>
      <c r="M132" s="139">
        <v>1497.41</v>
      </c>
      <c r="U132" s="97"/>
      <c r="V132" s="145" t="s">
        <v>151</v>
      </c>
      <c r="W132" s="146">
        <v>1.83</v>
      </c>
      <c r="X132" s="146">
        <v>3.08</v>
      </c>
      <c r="Y132" s="146">
        <v>3.11</v>
      </c>
      <c r="Z132" s="146">
        <v>3.52</v>
      </c>
      <c r="AA132" s="148">
        <v>0.72</v>
      </c>
    </row>
    <row r="133" spans="1:27" ht="12.5">
      <c r="A133" s="114"/>
      <c r="B133" s="115"/>
      <c r="C133" s="115"/>
      <c r="D133" s="115"/>
      <c r="E133" s="115"/>
      <c r="F133" s="115"/>
      <c r="H133" s="105" t="s">
        <v>152</v>
      </c>
      <c r="I133" s="110">
        <v>9581.16</v>
      </c>
      <c r="J133" s="110">
        <v>7668.13</v>
      </c>
      <c r="K133" s="110">
        <v>7344.46</v>
      </c>
      <c r="L133" s="110">
        <v>17896.669999999998</v>
      </c>
      <c r="M133" s="139">
        <v>30180.080000000002</v>
      </c>
      <c r="U133" s="97"/>
      <c r="V133" s="145" t="s">
        <v>152</v>
      </c>
      <c r="W133" s="146">
        <v>29794.720000000001</v>
      </c>
      <c r="X133" s="146">
        <v>25315.01</v>
      </c>
      <c r="Y133" s="146">
        <v>20573.84</v>
      </c>
      <c r="Z133" s="146">
        <v>17754.48</v>
      </c>
      <c r="AA133" s="146">
        <v>16097.65</v>
      </c>
    </row>
    <row r="134" spans="1:27" ht="12.5">
      <c r="H134" s="105" t="s">
        <v>153</v>
      </c>
      <c r="I134" s="106">
        <v>91.01</v>
      </c>
      <c r="J134" s="106">
        <v>31.08</v>
      </c>
      <c r="K134" s="106">
        <v>31.53</v>
      </c>
      <c r="L134" s="106">
        <v>74.86</v>
      </c>
      <c r="M134" s="147">
        <v>219.55</v>
      </c>
      <c r="U134" s="97"/>
      <c r="V134" s="145" t="s">
        <v>153</v>
      </c>
      <c r="W134" s="148">
        <v>180</v>
      </c>
      <c r="X134" s="148">
        <v>0</v>
      </c>
      <c r="Y134" s="148">
        <v>0</v>
      </c>
      <c r="Z134" s="148">
        <v>0</v>
      </c>
      <c r="AA134" s="148">
        <v>0</v>
      </c>
    </row>
    <row r="135" spans="1:27" ht="12.5">
      <c r="H135" s="105" t="s">
        <v>154</v>
      </c>
      <c r="I135" s="106">
        <v>1.84</v>
      </c>
      <c r="J135" s="106">
        <v>0</v>
      </c>
      <c r="K135" s="106">
        <v>0</v>
      </c>
      <c r="L135" s="106">
        <v>0.03</v>
      </c>
      <c r="M135" s="147">
        <v>0.03</v>
      </c>
      <c r="U135" s="97"/>
      <c r="V135" s="145" t="s">
        <v>154</v>
      </c>
      <c r="W135" s="146">
        <v>4.49</v>
      </c>
      <c r="X135" s="146">
        <v>4.49</v>
      </c>
      <c r="Y135" s="146">
        <v>4.49</v>
      </c>
      <c r="Z135" s="146">
        <v>4.49</v>
      </c>
      <c r="AA135" s="146">
        <v>4.49</v>
      </c>
    </row>
    <row r="136" spans="1:27" ht="12.5">
      <c r="H136" s="108" t="s">
        <v>155</v>
      </c>
      <c r="I136" s="109" t="s">
        <v>212</v>
      </c>
      <c r="J136" s="109" t="s">
        <v>213</v>
      </c>
      <c r="K136" s="109" t="s">
        <v>214</v>
      </c>
      <c r="L136" s="109" t="s">
        <v>215</v>
      </c>
      <c r="M136" s="149" t="s">
        <v>216</v>
      </c>
      <c r="U136" s="97"/>
      <c r="V136" s="143" t="s">
        <v>155</v>
      </c>
      <c r="W136" s="144">
        <v>49193.1</v>
      </c>
      <c r="X136" s="144">
        <v>45383.31</v>
      </c>
      <c r="Y136" s="144">
        <v>41389.11</v>
      </c>
      <c r="Z136" s="144">
        <v>38679.019999999997</v>
      </c>
      <c r="AA136" s="144">
        <v>39393.17</v>
      </c>
    </row>
    <row r="137" spans="1:27" ht="12.5">
      <c r="H137" s="105" t="s">
        <v>161</v>
      </c>
      <c r="I137" s="110">
        <v>8731.6299999999992</v>
      </c>
      <c r="J137" s="110">
        <v>7414.95</v>
      </c>
      <c r="K137" s="110">
        <v>7228.53</v>
      </c>
      <c r="L137" s="110">
        <v>4265.3599999999997</v>
      </c>
      <c r="M137" s="139">
        <v>3763.66</v>
      </c>
      <c r="U137" s="97"/>
      <c r="V137" s="145" t="s">
        <v>161</v>
      </c>
      <c r="W137" s="146">
        <v>6355.86</v>
      </c>
      <c r="X137" s="146">
        <v>5546.96</v>
      </c>
      <c r="Y137" s="146">
        <v>5414.34</v>
      </c>
      <c r="Z137" s="146">
        <v>3921.68</v>
      </c>
      <c r="AA137" s="146">
        <v>3400.74</v>
      </c>
    </row>
    <row r="138" spans="1:27" ht="12.5">
      <c r="H138" s="105" t="s">
        <v>162</v>
      </c>
      <c r="I138" s="110">
        <v>21502.52</v>
      </c>
      <c r="J138" s="110">
        <v>16897.29</v>
      </c>
      <c r="K138" s="110">
        <v>14269.78</v>
      </c>
      <c r="L138" s="110">
        <v>10474.09</v>
      </c>
      <c r="M138" s="139">
        <v>12783.75</v>
      </c>
      <c r="U138" s="97"/>
      <c r="V138" s="145" t="s">
        <v>162</v>
      </c>
      <c r="W138" s="146">
        <v>1196.1500000000001</v>
      </c>
      <c r="X138" s="146">
        <v>1089.8</v>
      </c>
      <c r="Y138" s="146">
        <v>1017.59</v>
      </c>
      <c r="Z138" s="146">
        <v>943.27</v>
      </c>
      <c r="AA138" s="146">
        <v>798.65</v>
      </c>
    </row>
    <row r="139" spans="1:27" ht="12.5">
      <c r="H139" s="105" t="s">
        <v>164</v>
      </c>
      <c r="I139" s="110">
        <v>9514.67</v>
      </c>
      <c r="J139" s="110">
        <v>9777.7800000000007</v>
      </c>
      <c r="K139" s="110">
        <v>8942.19</v>
      </c>
      <c r="L139" s="110">
        <v>9061</v>
      </c>
      <c r="M139" s="139">
        <v>10233.98</v>
      </c>
      <c r="U139" s="97"/>
      <c r="V139" s="145" t="s">
        <v>164</v>
      </c>
      <c r="W139" s="146">
        <v>8110.5</v>
      </c>
      <c r="X139" s="146">
        <v>8579.58</v>
      </c>
      <c r="Y139" s="146">
        <v>8266.26</v>
      </c>
      <c r="Z139" s="146">
        <v>8477.98</v>
      </c>
      <c r="AA139" s="146">
        <v>6598.42</v>
      </c>
    </row>
    <row r="140" spans="1:27" ht="12.5">
      <c r="H140" s="108" t="s">
        <v>165</v>
      </c>
      <c r="I140" s="109" t="s">
        <v>217</v>
      </c>
      <c r="J140" s="109" t="s">
        <v>218</v>
      </c>
      <c r="K140" s="109" t="s">
        <v>219</v>
      </c>
      <c r="L140" s="109" t="s">
        <v>220</v>
      </c>
      <c r="M140" s="149" t="s">
        <v>221</v>
      </c>
      <c r="U140" s="97"/>
      <c r="V140" s="143" t="s">
        <v>165</v>
      </c>
      <c r="W140" s="144">
        <v>64855.61</v>
      </c>
      <c r="X140" s="144">
        <v>60599.65</v>
      </c>
      <c r="Y140" s="144">
        <v>56087.3</v>
      </c>
      <c r="Z140" s="144">
        <v>52021.95</v>
      </c>
      <c r="AA140" s="144">
        <v>50190.98</v>
      </c>
    </row>
    <row r="141" spans="1:27" ht="12.5">
      <c r="H141" s="162" t="s">
        <v>171</v>
      </c>
      <c r="I141" s="159"/>
      <c r="J141" s="101"/>
      <c r="K141" s="101"/>
      <c r="L141" s="101"/>
      <c r="M141" s="136"/>
      <c r="U141" s="97"/>
      <c r="V141" s="163" t="s">
        <v>171</v>
      </c>
      <c r="W141" s="159"/>
      <c r="X141" s="150"/>
      <c r="Y141" s="150"/>
      <c r="Z141" s="150"/>
      <c r="AA141" s="150"/>
    </row>
    <row r="142" spans="1:27" ht="12.5">
      <c r="H142" s="105" t="s">
        <v>172</v>
      </c>
      <c r="I142" s="106">
        <v>608.26</v>
      </c>
      <c r="J142" s="106">
        <v>0</v>
      </c>
      <c r="K142" s="106">
        <v>0</v>
      </c>
      <c r="L142" s="106">
        <v>0</v>
      </c>
      <c r="M142" s="147">
        <v>0</v>
      </c>
      <c r="U142" s="97"/>
      <c r="V142" s="145" t="s">
        <v>172</v>
      </c>
      <c r="W142" s="146">
        <v>12.43</v>
      </c>
      <c r="X142" s="146">
        <v>151.35</v>
      </c>
      <c r="Y142" s="146">
        <v>0</v>
      </c>
      <c r="Z142" s="146">
        <v>0</v>
      </c>
      <c r="AA142" s="146">
        <v>0</v>
      </c>
    </row>
    <row r="143" spans="1:27" ht="12.5">
      <c r="H143" s="105" t="s">
        <v>173</v>
      </c>
      <c r="I143" s="110">
        <v>1303.73</v>
      </c>
      <c r="J143" s="110">
        <v>1323.55</v>
      </c>
      <c r="K143" s="110">
        <v>1352.6</v>
      </c>
      <c r="L143" s="110">
        <v>1362.82</v>
      </c>
      <c r="M143" s="139">
        <v>1400.56</v>
      </c>
      <c r="U143" s="97"/>
      <c r="V143" s="145" t="s">
        <v>173</v>
      </c>
      <c r="W143" s="146">
        <v>177</v>
      </c>
      <c r="X143" s="146">
        <v>150.47999999999999</v>
      </c>
      <c r="Y143" s="146">
        <v>130.30000000000001</v>
      </c>
      <c r="Z143" s="146">
        <v>124.42</v>
      </c>
      <c r="AA143" s="146">
        <v>118.24</v>
      </c>
    </row>
    <row r="144" spans="1:27" ht="12.5">
      <c r="H144" s="105" t="s">
        <v>174</v>
      </c>
      <c r="I144" s="110">
        <v>10825.8</v>
      </c>
      <c r="J144" s="110">
        <v>12381.52</v>
      </c>
      <c r="K144" s="110">
        <v>9106.82</v>
      </c>
      <c r="L144" s="110">
        <v>3621.34</v>
      </c>
      <c r="M144" s="139">
        <v>4867.8999999999996</v>
      </c>
      <c r="U144" s="97"/>
      <c r="V144" s="145" t="s">
        <v>174</v>
      </c>
      <c r="W144" s="146">
        <v>3981.32</v>
      </c>
      <c r="X144" s="146">
        <v>5487.59</v>
      </c>
      <c r="Y144" s="146">
        <v>4621.4799999999996</v>
      </c>
      <c r="Z144" s="146">
        <v>3206.02</v>
      </c>
      <c r="AA144" s="146">
        <v>3818.34</v>
      </c>
    </row>
    <row r="145" spans="8:27" ht="12.5">
      <c r="H145" s="105" t="s">
        <v>175</v>
      </c>
      <c r="I145" s="110">
        <v>5026.7299999999996</v>
      </c>
      <c r="J145" s="110">
        <v>4734.4399999999996</v>
      </c>
      <c r="K145" s="110">
        <v>2971.04</v>
      </c>
      <c r="L145" s="110">
        <v>5273.54</v>
      </c>
      <c r="M145" s="139">
        <v>5394.5</v>
      </c>
      <c r="U145" s="97"/>
      <c r="V145" s="145" t="s">
        <v>175</v>
      </c>
      <c r="W145" s="146">
        <v>992.51</v>
      </c>
      <c r="X145" s="146">
        <v>638.22</v>
      </c>
      <c r="Y145" s="146">
        <v>1160.71</v>
      </c>
      <c r="Z145" s="146">
        <v>913.96</v>
      </c>
      <c r="AA145" s="146">
        <v>389.12</v>
      </c>
    </row>
    <row r="146" spans="8:27" ht="12.5">
      <c r="H146" s="105" t="s">
        <v>176</v>
      </c>
      <c r="I146" s="106">
        <v>450.49</v>
      </c>
      <c r="J146" s="106">
        <v>455.1</v>
      </c>
      <c r="K146" s="106">
        <v>328.27</v>
      </c>
      <c r="L146" s="110">
        <v>5428.83</v>
      </c>
      <c r="M146" s="147">
        <v>696.87</v>
      </c>
      <c r="U146" s="97"/>
      <c r="V146" s="145" t="s">
        <v>176</v>
      </c>
      <c r="W146" s="146">
        <v>97.25</v>
      </c>
      <c r="X146" s="146">
        <v>114.59</v>
      </c>
      <c r="Y146" s="146">
        <v>55.68</v>
      </c>
      <c r="Z146" s="146">
        <v>48.44</v>
      </c>
      <c r="AA146" s="146">
        <v>46.03</v>
      </c>
    </row>
    <row r="147" spans="8:27" ht="12.5">
      <c r="H147" s="105" t="s">
        <v>177</v>
      </c>
      <c r="I147" s="110">
        <v>15083.06</v>
      </c>
      <c r="J147" s="110">
        <v>13332.17</v>
      </c>
      <c r="K147" s="110">
        <v>16570.66</v>
      </c>
      <c r="L147" s="110">
        <v>19929.89</v>
      </c>
      <c r="M147" s="139">
        <v>16172.35</v>
      </c>
      <c r="U147" s="97"/>
      <c r="V147" s="145" t="s">
        <v>177</v>
      </c>
      <c r="W147" s="146">
        <v>8686.4699999999993</v>
      </c>
      <c r="X147" s="146">
        <v>7573.24</v>
      </c>
      <c r="Y147" s="146">
        <v>8244.15</v>
      </c>
      <c r="Z147" s="146">
        <v>9987.24</v>
      </c>
      <c r="AA147" s="146">
        <v>10050.81</v>
      </c>
    </row>
    <row r="148" spans="8:27" ht="12.5">
      <c r="H148" s="108" t="s">
        <v>178</v>
      </c>
      <c r="I148" s="111">
        <v>33298.07</v>
      </c>
      <c r="J148" s="111">
        <v>32226.78</v>
      </c>
      <c r="K148" s="111">
        <v>30329.39</v>
      </c>
      <c r="L148" s="111">
        <v>35616.42</v>
      </c>
      <c r="M148" s="142">
        <v>28532.18</v>
      </c>
      <c r="U148" s="97"/>
      <c r="V148" s="143" t="s">
        <v>178</v>
      </c>
      <c r="W148" s="144">
        <v>13946.98</v>
      </c>
      <c r="X148" s="144">
        <v>14115.47</v>
      </c>
      <c r="Y148" s="144">
        <v>14212.32</v>
      </c>
      <c r="Z148" s="144">
        <v>14280.08</v>
      </c>
      <c r="AA148" s="144">
        <v>14422.54</v>
      </c>
    </row>
    <row r="149" spans="8:27" ht="12.5">
      <c r="H149" s="108" t="s">
        <v>179</v>
      </c>
      <c r="I149" s="109" t="s">
        <v>202</v>
      </c>
      <c r="J149" s="109" t="s">
        <v>203</v>
      </c>
      <c r="K149" s="109" t="s">
        <v>204</v>
      </c>
      <c r="L149" s="109" t="s">
        <v>205</v>
      </c>
      <c r="M149" s="149" t="s">
        <v>206</v>
      </c>
      <c r="U149" s="97"/>
      <c r="V149" s="143" t="s">
        <v>179</v>
      </c>
      <c r="W149" s="144">
        <v>78802.59</v>
      </c>
      <c r="X149" s="144">
        <v>74715.12</v>
      </c>
      <c r="Y149" s="144">
        <v>70299.62</v>
      </c>
      <c r="Z149" s="144">
        <v>66302.03</v>
      </c>
      <c r="AA149" s="144">
        <v>64613.52</v>
      </c>
    </row>
  </sheetData>
  <mergeCells count="56">
    <mergeCell ref="A106:F106"/>
    <mergeCell ref="H106:M106"/>
    <mergeCell ref="O106:T106"/>
    <mergeCell ref="V106:AA106"/>
    <mergeCell ref="V129:W129"/>
    <mergeCell ref="V90:W90"/>
    <mergeCell ref="H98:I98"/>
    <mergeCell ref="V98:W98"/>
    <mergeCell ref="H102:M102"/>
    <mergeCell ref="A104:M105"/>
    <mergeCell ref="O104:AA105"/>
    <mergeCell ref="H78:I78"/>
    <mergeCell ref="H79:I79"/>
    <mergeCell ref="V79:W79"/>
    <mergeCell ref="V80:W80"/>
    <mergeCell ref="H89:I89"/>
    <mergeCell ref="V60:W60"/>
    <mergeCell ref="H65:I65"/>
    <mergeCell ref="V66:W66"/>
    <mergeCell ref="H71:I71"/>
    <mergeCell ref="V72:W72"/>
    <mergeCell ref="O56:T56"/>
    <mergeCell ref="V56:AA56"/>
    <mergeCell ref="H57:I57"/>
    <mergeCell ref="H58:I58"/>
    <mergeCell ref="V59:W59"/>
    <mergeCell ref="V30:W30"/>
    <mergeCell ref="V40:W40"/>
    <mergeCell ref="A52:M53"/>
    <mergeCell ref="A54:F54"/>
    <mergeCell ref="H54:M54"/>
    <mergeCell ref="O54:AA55"/>
    <mergeCell ref="V7:W7"/>
    <mergeCell ref="V8:W8"/>
    <mergeCell ref="V16:W16"/>
    <mergeCell ref="V22:W22"/>
    <mergeCell ref="V29:W29"/>
    <mergeCell ref="A2:M3"/>
    <mergeCell ref="O2:AA3"/>
    <mergeCell ref="A4:F4"/>
    <mergeCell ref="H4:M4"/>
    <mergeCell ref="O4:T4"/>
    <mergeCell ref="V4:AA4"/>
    <mergeCell ref="H109:I109"/>
    <mergeCell ref="V109:W109"/>
    <mergeCell ref="H110:I110"/>
    <mergeCell ref="V110:W110"/>
    <mergeCell ref="H116:I116"/>
    <mergeCell ref="V116:W116"/>
    <mergeCell ref="H122:I122"/>
    <mergeCell ref="H129:I129"/>
    <mergeCell ref="H130:I130"/>
    <mergeCell ref="H141:I141"/>
    <mergeCell ref="V141:W141"/>
    <mergeCell ref="V122:W122"/>
    <mergeCell ref="V130:W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NTPC</vt:lpstr>
      <vt:lpstr>ADANIPOWER</vt:lpstr>
      <vt:lpstr>TATAPOWER</vt:lpstr>
      <vt:lpstr>JSW ENERGY</vt:lpstr>
      <vt:lpstr>NHPC</vt:lpstr>
      <vt:lpstr>POWERGRID</vt:lpstr>
      <vt:lpstr>MVE</vt:lpstr>
      <vt:lpstr>D TO E</vt:lpstr>
      <vt:lpstr>Cost of debt</vt:lpstr>
      <vt:lpstr>WACC using Top Down Approach (E</vt:lpstr>
      <vt:lpstr>WACC using Bottom Up Approach (</vt:lpstr>
      <vt:lpstr>Financial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Asish Kumar Mishra</cp:lastModifiedBy>
  <dcterms:modified xsi:type="dcterms:W3CDTF">2025-09-03T16:32:01Z</dcterms:modified>
</cp:coreProperties>
</file>